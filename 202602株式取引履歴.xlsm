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Megumi\OneDrive\デスクトップ\"/>
    </mc:Choice>
  </mc:AlternateContent>
  <xr:revisionPtr revIDLastSave="0" documentId="13_ncr:1_{CFCCEB65-3670-45F6-8C4C-1F39C0A935A0}" xr6:coauthVersionLast="47" xr6:coauthVersionMax="47" xr10:uidLastSave="{00000000-0000-0000-0000-000000000000}"/>
  <bookViews>
    <workbookView xWindow="1470" yWindow="870" windowWidth="26010" windowHeight="16620" tabRatio="500" activeTab="1" xr2:uid="{00000000-000D-0000-FFFF-FFFF00000000}"/>
  </bookViews>
  <sheets>
    <sheet name="株式ポートフォリオ" sheetId="1" r:id="rId1"/>
    <sheet name="課題と反省" sheetId="2" r:id="rId2"/>
    <sheet name="週次・月次レポート" sheetId="7" r:id="rId3"/>
  </sheets>
  <definedNames>
    <definedName name="_xlnm._FilterDatabase" localSheetId="2" hidden="1">週次・月次レポート!$A$13:$K$39</definedName>
    <definedName name="_xlpm.営業日数" hidden="1" xlm="1">#NAME?</definedName>
    <definedName name="_xlpm.開始日" hidden="1" xlm="1">#NAME?</definedName>
    <definedName name="_xlpm.計算日" hidden="1" xlm="1">#NAME?</definedName>
    <definedName name="_xlnm.Print_Titles" localSheetId="0">株式ポートフォリオ!$2:$7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3" i="1" l="1"/>
  <c r="B6" i="7"/>
  <c r="A33" i="7" s="1"/>
  <c r="A2" i="7"/>
  <c r="C14" i="2"/>
  <c r="B14" i="2"/>
  <c r="C15" i="2"/>
  <c r="B15" i="2"/>
  <c r="S1" i="1" a="1"/>
  <c r="S1" i="1" l="1"/>
  <c r="C6" i="7"/>
  <c r="B7" i="7"/>
  <c r="A15" i="7"/>
  <c r="A18" i="7"/>
  <c r="A19" i="7"/>
  <c r="B19" i="7" s="1"/>
  <c r="A20" i="7"/>
  <c r="B20" i="7" s="1"/>
  <c r="B33" i="7"/>
  <c r="A24" i="7"/>
  <c r="A32" i="7"/>
  <c r="A16" i="7"/>
  <c r="A23" i="7"/>
  <c r="A31" i="7"/>
  <c r="A39" i="7"/>
  <c r="A22" i="7"/>
  <c r="A38" i="7"/>
  <c r="A14" i="7"/>
  <c r="A30" i="7"/>
  <c r="A21" i="7"/>
  <c r="A37" i="7"/>
  <c r="A29" i="7"/>
  <c r="B8" i="7"/>
  <c r="A28" i="7"/>
  <c r="A36" i="7"/>
  <c r="A27" i="7"/>
  <c r="A35" i="7"/>
  <c r="A26" i="7"/>
  <c r="A34" i="7"/>
  <c r="A17" i="7"/>
  <c r="A25" i="7"/>
  <c r="C11" i="2"/>
  <c r="B11" i="2"/>
  <c r="B13" i="2"/>
  <c r="C13" i="2"/>
  <c r="C103" i="2"/>
  <c r="B103" i="2"/>
  <c r="C102" i="2"/>
  <c r="B102" i="2"/>
  <c r="C101" i="2"/>
  <c r="B101" i="2"/>
  <c r="C100" i="2"/>
  <c r="B100" i="2"/>
  <c r="C99" i="2"/>
  <c r="B99" i="2"/>
  <c r="C98" i="2"/>
  <c r="B98" i="2"/>
  <c r="C97" i="2"/>
  <c r="B97" i="2"/>
  <c r="C96" i="2"/>
  <c r="B96" i="2"/>
  <c r="C95" i="2"/>
  <c r="B95" i="2"/>
  <c r="C94" i="2"/>
  <c r="B94" i="2"/>
  <c r="C93" i="2"/>
  <c r="B93" i="2"/>
  <c r="C92" i="2"/>
  <c r="B92" i="2"/>
  <c r="C91" i="2"/>
  <c r="B91" i="2"/>
  <c r="C90" i="2"/>
  <c r="B90" i="2"/>
  <c r="C89" i="2"/>
  <c r="B89" i="2"/>
  <c r="C88" i="2"/>
  <c r="B88" i="2"/>
  <c r="C87" i="2"/>
  <c r="B87" i="2"/>
  <c r="C86" i="2"/>
  <c r="B86" i="2"/>
  <c r="C85" i="2"/>
  <c r="B85" i="2"/>
  <c r="C84" i="2"/>
  <c r="B84" i="2"/>
  <c r="C83" i="2"/>
  <c r="B83" i="2"/>
  <c r="C82" i="2"/>
  <c r="B82" i="2"/>
  <c r="C81" i="2"/>
  <c r="B81" i="2"/>
  <c r="C80" i="2"/>
  <c r="B80" i="2"/>
  <c r="C79" i="2"/>
  <c r="B79" i="2"/>
  <c r="C78" i="2"/>
  <c r="B78" i="2"/>
  <c r="C77" i="2"/>
  <c r="B77" i="2"/>
  <c r="C76" i="2"/>
  <c r="B76" i="2"/>
  <c r="C75" i="2"/>
  <c r="B75" i="2"/>
  <c r="C74" i="2"/>
  <c r="B74" i="2"/>
  <c r="C73" i="2"/>
  <c r="B73" i="2"/>
  <c r="C72" i="2"/>
  <c r="B72" i="2"/>
  <c r="C71" i="2"/>
  <c r="B71" i="2"/>
  <c r="C70" i="2"/>
  <c r="B70" i="2"/>
  <c r="C69" i="2"/>
  <c r="B69" i="2"/>
  <c r="C68" i="2"/>
  <c r="B68" i="2"/>
  <c r="C67" i="2"/>
  <c r="B67" i="2"/>
  <c r="C66" i="2"/>
  <c r="B66" i="2"/>
  <c r="C65" i="2"/>
  <c r="B65" i="2"/>
  <c r="C64" i="2"/>
  <c r="B64" i="2"/>
  <c r="C63" i="2"/>
  <c r="B63" i="2"/>
  <c r="C62" i="2"/>
  <c r="B62" i="2"/>
  <c r="C61" i="2"/>
  <c r="B61" i="2"/>
  <c r="C60" i="2"/>
  <c r="B60" i="2"/>
  <c r="C59" i="2"/>
  <c r="B59" i="2"/>
  <c r="C58" i="2"/>
  <c r="B58" i="2"/>
  <c r="C57" i="2"/>
  <c r="B57" i="2"/>
  <c r="C56" i="2"/>
  <c r="B56" i="2"/>
  <c r="C55" i="2"/>
  <c r="B55" i="2"/>
  <c r="C54" i="2"/>
  <c r="B54" i="2"/>
  <c r="C53" i="2"/>
  <c r="B53" i="2"/>
  <c r="C52" i="2"/>
  <c r="B52" i="2"/>
  <c r="C51" i="2"/>
  <c r="B51" i="2"/>
  <c r="C50" i="2"/>
  <c r="B50" i="2"/>
  <c r="C49" i="2"/>
  <c r="B49" i="2"/>
  <c r="C48" i="2"/>
  <c r="B48" i="2"/>
  <c r="C47" i="2"/>
  <c r="B47" i="2"/>
  <c r="C46" i="2"/>
  <c r="B46" i="2"/>
  <c r="C45" i="2"/>
  <c r="B45" i="2"/>
  <c r="C44" i="2"/>
  <c r="B44" i="2"/>
  <c r="B43" i="2"/>
  <c r="C42" i="2"/>
  <c r="B42" i="2"/>
  <c r="B41" i="2"/>
  <c r="C40" i="2"/>
  <c r="B40" i="2"/>
  <c r="C39" i="2"/>
  <c r="B39" i="2"/>
  <c r="B38" i="2"/>
  <c r="C37" i="2"/>
  <c r="B37" i="2"/>
  <c r="C36" i="2"/>
  <c r="B36" i="2"/>
  <c r="C35" i="2"/>
  <c r="B35" i="2"/>
  <c r="B34" i="2"/>
  <c r="C33" i="2"/>
  <c r="B33" i="2"/>
  <c r="B32" i="2"/>
  <c r="C31" i="2"/>
  <c r="B31" i="2"/>
  <c r="M300" i="1"/>
  <c r="N300" i="1" s="1"/>
  <c r="L300" i="1"/>
  <c r="J300" i="1"/>
  <c r="F300" i="1"/>
  <c r="C300" i="1"/>
  <c r="M299" i="1"/>
  <c r="L299" i="1"/>
  <c r="J299" i="1"/>
  <c r="F299" i="1"/>
  <c r="C299" i="1"/>
  <c r="M298" i="1"/>
  <c r="L298" i="1"/>
  <c r="J298" i="1"/>
  <c r="N298" i="1" s="1"/>
  <c r="F298" i="1"/>
  <c r="C298" i="1"/>
  <c r="M297" i="1"/>
  <c r="N297" i="1" s="1"/>
  <c r="L297" i="1"/>
  <c r="J297" i="1"/>
  <c r="F297" i="1"/>
  <c r="C297" i="1"/>
  <c r="M296" i="1"/>
  <c r="N296" i="1" s="1"/>
  <c r="L296" i="1"/>
  <c r="J296" i="1"/>
  <c r="F296" i="1"/>
  <c r="C296" i="1"/>
  <c r="M295" i="1"/>
  <c r="N295" i="1" s="1"/>
  <c r="L295" i="1"/>
  <c r="J295" i="1"/>
  <c r="F295" i="1"/>
  <c r="C295" i="1"/>
  <c r="N294" i="1"/>
  <c r="M294" i="1"/>
  <c r="L294" i="1"/>
  <c r="J294" i="1"/>
  <c r="F294" i="1"/>
  <c r="C294" i="1"/>
  <c r="M293" i="1"/>
  <c r="N293" i="1" s="1"/>
  <c r="L293" i="1"/>
  <c r="J293" i="1"/>
  <c r="F293" i="1"/>
  <c r="C293" i="1"/>
  <c r="M292" i="1"/>
  <c r="N292" i="1" s="1"/>
  <c r="L292" i="1"/>
  <c r="J292" i="1"/>
  <c r="F292" i="1"/>
  <c r="C292" i="1"/>
  <c r="M291" i="1"/>
  <c r="N291" i="1" s="1"/>
  <c r="L291" i="1"/>
  <c r="J291" i="1"/>
  <c r="F291" i="1"/>
  <c r="C291" i="1"/>
  <c r="N290" i="1"/>
  <c r="M290" i="1"/>
  <c r="L290" i="1"/>
  <c r="J290" i="1"/>
  <c r="F290" i="1"/>
  <c r="C290" i="1"/>
  <c r="M289" i="1"/>
  <c r="L289" i="1"/>
  <c r="J289" i="1"/>
  <c r="N289" i="1" s="1"/>
  <c r="F289" i="1"/>
  <c r="C289" i="1"/>
  <c r="N288" i="1"/>
  <c r="M288" i="1"/>
  <c r="L288" i="1"/>
  <c r="J288" i="1"/>
  <c r="F288" i="1"/>
  <c r="C288" i="1"/>
  <c r="M287" i="1"/>
  <c r="L287" i="1"/>
  <c r="J287" i="1"/>
  <c r="N287" i="1" s="1"/>
  <c r="F287" i="1"/>
  <c r="C287" i="1"/>
  <c r="M286" i="1"/>
  <c r="L286" i="1"/>
  <c r="J286" i="1"/>
  <c r="N286" i="1" s="1"/>
  <c r="F286" i="1"/>
  <c r="C286" i="1"/>
  <c r="M285" i="1"/>
  <c r="N285" i="1" s="1"/>
  <c r="L285" i="1"/>
  <c r="J285" i="1"/>
  <c r="F285" i="1"/>
  <c r="C285" i="1"/>
  <c r="N284" i="1"/>
  <c r="M284" i="1"/>
  <c r="L284" i="1"/>
  <c r="J284" i="1"/>
  <c r="F284" i="1"/>
  <c r="C284" i="1"/>
  <c r="M283" i="1"/>
  <c r="N283" i="1" s="1"/>
  <c r="L283" i="1"/>
  <c r="J283" i="1"/>
  <c r="F283" i="1"/>
  <c r="C283" i="1"/>
  <c r="M282" i="1"/>
  <c r="L282" i="1"/>
  <c r="J282" i="1"/>
  <c r="N282" i="1" s="1"/>
  <c r="F282" i="1"/>
  <c r="C282" i="1"/>
  <c r="M281" i="1"/>
  <c r="N281" i="1" s="1"/>
  <c r="L281" i="1"/>
  <c r="J281" i="1"/>
  <c r="F281" i="1"/>
  <c r="C281" i="1"/>
  <c r="M280" i="1"/>
  <c r="N280" i="1" s="1"/>
  <c r="L280" i="1"/>
  <c r="J280" i="1"/>
  <c r="F280" i="1"/>
  <c r="C280" i="1"/>
  <c r="M279" i="1"/>
  <c r="N279" i="1" s="1"/>
  <c r="L279" i="1"/>
  <c r="J279" i="1"/>
  <c r="F279" i="1"/>
  <c r="C279" i="1"/>
  <c r="N278" i="1"/>
  <c r="M278" i="1"/>
  <c r="L278" i="1"/>
  <c r="J278" i="1"/>
  <c r="F278" i="1"/>
  <c r="C278" i="1"/>
  <c r="N277" i="1"/>
  <c r="M277" i="1"/>
  <c r="L277" i="1"/>
  <c r="J277" i="1"/>
  <c r="F277" i="1"/>
  <c r="C277" i="1"/>
  <c r="M276" i="1"/>
  <c r="N276" i="1" s="1"/>
  <c r="L276" i="1"/>
  <c r="J276" i="1"/>
  <c r="F276" i="1"/>
  <c r="C276" i="1"/>
  <c r="M275" i="1"/>
  <c r="N275" i="1" s="1"/>
  <c r="L275" i="1"/>
  <c r="J275" i="1"/>
  <c r="F275" i="1"/>
  <c r="C275" i="1"/>
  <c r="N274" i="1"/>
  <c r="M274" i="1"/>
  <c r="L274" i="1"/>
  <c r="J274" i="1"/>
  <c r="F274" i="1"/>
  <c r="C274" i="1"/>
  <c r="M273" i="1"/>
  <c r="L273" i="1"/>
  <c r="J273" i="1"/>
  <c r="N273" i="1" s="1"/>
  <c r="F273" i="1"/>
  <c r="C273" i="1"/>
  <c r="N272" i="1"/>
  <c r="M272" i="1"/>
  <c r="L272" i="1"/>
  <c r="J272" i="1"/>
  <c r="F272" i="1"/>
  <c r="C272" i="1"/>
  <c r="M271" i="1"/>
  <c r="N271" i="1" s="1"/>
  <c r="L271" i="1"/>
  <c r="J271" i="1"/>
  <c r="F271" i="1"/>
  <c r="C271" i="1"/>
  <c r="M270" i="1"/>
  <c r="L270" i="1"/>
  <c r="J270" i="1"/>
  <c r="N270" i="1" s="1"/>
  <c r="F270" i="1"/>
  <c r="C270" i="1"/>
  <c r="M269" i="1"/>
  <c r="N269" i="1" s="1"/>
  <c r="L269" i="1"/>
  <c r="J269" i="1"/>
  <c r="F269" i="1"/>
  <c r="C269" i="1"/>
  <c r="N268" i="1"/>
  <c r="M268" i="1"/>
  <c r="L268" i="1"/>
  <c r="J268" i="1"/>
  <c r="F268" i="1"/>
  <c r="C268" i="1"/>
  <c r="M267" i="1"/>
  <c r="N267" i="1" s="1"/>
  <c r="L267" i="1"/>
  <c r="J267" i="1"/>
  <c r="F267" i="1"/>
  <c r="C267" i="1"/>
  <c r="N266" i="1"/>
  <c r="M266" i="1"/>
  <c r="L266" i="1"/>
  <c r="J266" i="1"/>
  <c r="F266" i="1"/>
  <c r="C266" i="1"/>
  <c r="M265" i="1"/>
  <c r="N265" i="1" s="1"/>
  <c r="L265" i="1"/>
  <c r="J265" i="1"/>
  <c r="F265" i="1"/>
  <c r="C265" i="1"/>
  <c r="N264" i="1"/>
  <c r="M264" i="1"/>
  <c r="L264" i="1"/>
  <c r="J264" i="1"/>
  <c r="F264" i="1"/>
  <c r="C264" i="1"/>
  <c r="M263" i="1"/>
  <c r="N263" i="1" s="1"/>
  <c r="L263" i="1"/>
  <c r="J263" i="1"/>
  <c r="F263" i="1"/>
  <c r="C263" i="1"/>
  <c r="N262" i="1"/>
  <c r="M262" i="1"/>
  <c r="L262" i="1"/>
  <c r="J262" i="1"/>
  <c r="F262" i="1"/>
  <c r="C262" i="1"/>
  <c r="M261" i="1"/>
  <c r="N261" i="1" s="1"/>
  <c r="L261" i="1"/>
  <c r="J261" i="1"/>
  <c r="F261" i="1"/>
  <c r="C261" i="1"/>
  <c r="M260" i="1"/>
  <c r="N260" i="1" s="1"/>
  <c r="L260" i="1"/>
  <c r="J260" i="1"/>
  <c r="F260" i="1"/>
  <c r="C260" i="1"/>
  <c r="M259" i="1"/>
  <c r="N259" i="1" s="1"/>
  <c r="L259" i="1"/>
  <c r="J259" i="1"/>
  <c r="F259" i="1"/>
  <c r="C259" i="1"/>
  <c r="N258" i="1"/>
  <c r="M258" i="1"/>
  <c r="L258" i="1"/>
  <c r="J258" i="1"/>
  <c r="F258" i="1"/>
  <c r="C258" i="1"/>
  <c r="M257" i="1"/>
  <c r="L257" i="1"/>
  <c r="J257" i="1"/>
  <c r="N257" i="1" s="1"/>
  <c r="F257" i="1"/>
  <c r="C257" i="1"/>
  <c r="N256" i="1"/>
  <c r="M256" i="1"/>
  <c r="L256" i="1"/>
  <c r="J256" i="1"/>
  <c r="F256" i="1"/>
  <c r="C256" i="1"/>
  <c r="M255" i="1"/>
  <c r="N255" i="1" s="1"/>
  <c r="L255" i="1"/>
  <c r="J255" i="1"/>
  <c r="F255" i="1"/>
  <c r="C255" i="1"/>
  <c r="M254" i="1"/>
  <c r="L254" i="1"/>
  <c r="J254" i="1"/>
  <c r="N254" i="1" s="1"/>
  <c r="F254" i="1"/>
  <c r="C254" i="1"/>
  <c r="M253" i="1"/>
  <c r="N253" i="1" s="1"/>
  <c r="L253" i="1"/>
  <c r="J253" i="1"/>
  <c r="F253" i="1"/>
  <c r="C253" i="1"/>
  <c r="N252" i="1"/>
  <c r="M252" i="1"/>
  <c r="L252" i="1"/>
  <c r="J252" i="1"/>
  <c r="F252" i="1"/>
  <c r="C252" i="1"/>
  <c r="M251" i="1"/>
  <c r="L251" i="1"/>
  <c r="J251" i="1"/>
  <c r="F251" i="1"/>
  <c r="C251" i="1"/>
  <c r="M250" i="1"/>
  <c r="L250" i="1"/>
  <c r="J250" i="1"/>
  <c r="N250" i="1" s="1"/>
  <c r="F250" i="1"/>
  <c r="C250" i="1"/>
  <c r="M249" i="1"/>
  <c r="N249" i="1" s="1"/>
  <c r="L249" i="1"/>
  <c r="J249" i="1"/>
  <c r="F249" i="1"/>
  <c r="C249" i="1"/>
  <c r="M248" i="1"/>
  <c r="N248" i="1" s="1"/>
  <c r="L248" i="1"/>
  <c r="J248" i="1"/>
  <c r="F248" i="1"/>
  <c r="C248" i="1"/>
  <c r="M247" i="1"/>
  <c r="N247" i="1" s="1"/>
  <c r="L247" i="1"/>
  <c r="J247" i="1"/>
  <c r="F247" i="1"/>
  <c r="C247" i="1"/>
  <c r="N246" i="1"/>
  <c r="M246" i="1"/>
  <c r="L246" i="1"/>
  <c r="J246" i="1"/>
  <c r="F246" i="1"/>
  <c r="C246" i="1"/>
  <c r="M245" i="1"/>
  <c r="N245" i="1" s="1"/>
  <c r="L245" i="1"/>
  <c r="J245" i="1"/>
  <c r="F245" i="1"/>
  <c r="C245" i="1"/>
  <c r="M244" i="1"/>
  <c r="N244" i="1" s="1"/>
  <c r="L244" i="1"/>
  <c r="J244" i="1"/>
  <c r="F244" i="1"/>
  <c r="C244" i="1"/>
  <c r="M243" i="1"/>
  <c r="N243" i="1" s="1"/>
  <c r="L243" i="1"/>
  <c r="J243" i="1"/>
  <c r="F243" i="1"/>
  <c r="C243" i="1"/>
  <c r="N242" i="1"/>
  <c r="M242" i="1"/>
  <c r="L242" i="1"/>
  <c r="J242" i="1"/>
  <c r="F242" i="1"/>
  <c r="C242" i="1"/>
  <c r="M241" i="1"/>
  <c r="L241" i="1"/>
  <c r="J241" i="1"/>
  <c r="N241" i="1" s="1"/>
  <c r="F241" i="1"/>
  <c r="C241" i="1"/>
  <c r="N240" i="1"/>
  <c r="M240" i="1"/>
  <c r="L240" i="1"/>
  <c r="J240" i="1"/>
  <c r="F240" i="1"/>
  <c r="C240" i="1"/>
  <c r="M239" i="1"/>
  <c r="N239" i="1" s="1"/>
  <c r="L239" i="1"/>
  <c r="J239" i="1"/>
  <c r="F239" i="1"/>
  <c r="C239" i="1"/>
  <c r="M238" i="1"/>
  <c r="L238" i="1"/>
  <c r="J238" i="1"/>
  <c r="N238" i="1" s="1"/>
  <c r="F238" i="1"/>
  <c r="C238" i="1"/>
  <c r="M237" i="1"/>
  <c r="N237" i="1" s="1"/>
  <c r="L237" i="1"/>
  <c r="J237" i="1"/>
  <c r="F237" i="1"/>
  <c r="C237" i="1"/>
  <c r="M236" i="1"/>
  <c r="N236" i="1" s="1"/>
  <c r="L236" i="1"/>
  <c r="J236" i="1"/>
  <c r="F236" i="1"/>
  <c r="C236" i="1"/>
  <c r="M235" i="1"/>
  <c r="N235" i="1" s="1"/>
  <c r="L235" i="1"/>
  <c r="J235" i="1"/>
  <c r="F235" i="1"/>
  <c r="C235" i="1"/>
  <c r="M234" i="1"/>
  <c r="N234" i="1" s="1"/>
  <c r="L234" i="1"/>
  <c r="J234" i="1"/>
  <c r="F234" i="1"/>
  <c r="C234" i="1"/>
  <c r="M233" i="1"/>
  <c r="N233" i="1" s="1"/>
  <c r="L233" i="1"/>
  <c r="J233" i="1"/>
  <c r="F233" i="1"/>
  <c r="C233" i="1"/>
  <c r="M232" i="1"/>
  <c r="N232" i="1" s="1"/>
  <c r="L232" i="1"/>
  <c r="J232" i="1"/>
  <c r="F232" i="1"/>
  <c r="C232" i="1"/>
  <c r="N231" i="1"/>
  <c r="M231" i="1"/>
  <c r="L231" i="1"/>
  <c r="J231" i="1"/>
  <c r="F231" i="1"/>
  <c r="C231" i="1"/>
  <c r="N230" i="1"/>
  <c r="M230" i="1"/>
  <c r="L230" i="1"/>
  <c r="J230" i="1"/>
  <c r="F230" i="1"/>
  <c r="C230" i="1"/>
  <c r="N229" i="1"/>
  <c r="M229" i="1"/>
  <c r="L229" i="1"/>
  <c r="J229" i="1"/>
  <c r="F229" i="1"/>
  <c r="C229" i="1"/>
  <c r="M228" i="1"/>
  <c r="N228" i="1" s="1"/>
  <c r="L228" i="1"/>
  <c r="J228" i="1"/>
  <c r="F228" i="1"/>
  <c r="C228" i="1"/>
  <c r="M227" i="1"/>
  <c r="N227" i="1" s="1"/>
  <c r="L227" i="1"/>
  <c r="J227" i="1"/>
  <c r="F227" i="1"/>
  <c r="C227" i="1"/>
  <c r="N226" i="1"/>
  <c r="M226" i="1"/>
  <c r="L226" i="1"/>
  <c r="J226" i="1"/>
  <c r="F226" i="1"/>
  <c r="C226" i="1"/>
  <c r="M225" i="1"/>
  <c r="L225" i="1"/>
  <c r="J225" i="1"/>
  <c r="N225" i="1" s="1"/>
  <c r="F225" i="1"/>
  <c r="C225" i="1"/>
  <c r="M224" i="1"/>
  <c r="L224" i="1"/>
  <c r="J224" i="1"/>
  <c r="N224" i="1" s="1"/>
  <c r="F224" i="1"/>
  <c r="C224" i="1"/>
  <c r="M223" i="1"/>
  <c r="N223" i="1" s="1"/>
  <c r="L223" i="1"/>
  <c r="J223" i="1"/>
  <c r="F223" i="1"/>
  <c r="C223" i="1"/>
  <c r="M222" i="1"/>
  <c r="L222" i="1"/>
  <c r="J222" i="1"/>
  <c r="N222" i="1" s="1"/>
  <c r="F222" i="1"/>
  <c r="C222" i="1"/>
  <c r="M221" i="1"/>
  <c r="N221" i="1" s="1"/>
  <c r="L221" i="1"/>
  <c r="J221" i="1"/>
  <c r="F221" i="1"/>
  <c r="C221" i="1"/>
  <c r="M220" i="1"/>
  <c r="N220" i="1" s="1"/>
  <c r="L220" i="1"/>
  <c r="J220" i="1"/>
  <c r="F220" i="1"/>
  <c r="C220" i="1"/>
  <c r="M219" i="1"/>
  <c r="L219" i="1"/>
  <c r="J219" i="1"/>
  <c r="F219" i="1"/>
  <c r="C219" i="1"/>
  <c r="M218" i="1"/>
  <c r="N218" i="1" s="1"/>
  <c r="L218" i="1"/>
  <c r="J218" i="1"/>
  <c r="F218" i="1"/>
  <c r="C218" i="1"/>
  <c r="N217" i="1"/>
  <c r="M217" i="1"/>
  <c r="L217" i="1"/>
  <c r="J217" i="1"/>
  <c r="F217" i="1"/>
  <c r="C217" i="1"/>
  <c r="M216" i="1"/>
  <c r="N216" i="1" s="1"/>
  <c r="L216" i="1"/>
  <c r="J216" i="1"/>
  <c r="F216" i="1"/>
  <c r="C216" i="1"/>
  <c r="N215" i="1"/>
  <c r="M215" i="1"/>
  <c r="L215" i="1"/>
  <c r="J215" i="1"/>
  <c r="F215" i="1"/>
  <c r="C215" i="1"/>
  <c r="N214" i="1"/>
  <c r="M214" i="1"/>
  <c r="L214" i="1"/>
  <c r="J214" i="1"/>
  <c r="F214" i="1"/>
  <c r="C214" i="1"/>
  <c r="M213" i="1"/>
  <c r="N213" i="1" s="1"/>
  <c r="L213" i="1"/>
  <c r="J213" i="1"/>
  <c r="F213" i="1"/>
  <c r="C213" i="1"/>
  <c r="M212" i="1"/>
  <c r="N212" i="1" s="1"/>
  <c r="L212" i="1"/>
  <c r="J212" i="1"/>
  <c r="F212" i="1"/>
  <c r="C212" i="1"/>
  <c r="M211" i="1"/>
  <c r="L211" i="1"/>
  <c r="J211" i="1"/>
  <c r="N211" i="1" s="1"/>
  <c r="F211" i="1"/>
  <c r="C211" i="1"/>
  <c r="N210" i="1"/>
  <c r="M210" i="1"/>
  <c r="L210" i="1"/>
  <c r="J210" i="1"/>
  <c r="F210" i="1"/>
  <c r="C210" i="1"/>
  <c r="M209" i="1"/>
  <c r="L209" i="1"/>
  <c r="J209" i="1"/>
  <c r="N209" i="1" s="1"/>
  <c r="F209" i="1"/>
  <c r="C209" i="1"/>
  <c r="M208" i="1"/>
  <c r="L208" i="1"/>
  <c r="J208" i="1"/>
  <c r="N208" i="1" s="1"/>
  <c r="F208" i="1"/>
  <c r="C208" i="1"/>
  <c r="M207" i="1"/>
  <c r="L207" i="1"/>
  <c r="J207" i="1"/>
  <c r="N207" i="1" s="1"/>
  <c r="F207" i="1"/>
  <c r="C207" i="1"/>
  <c r="M206" i="1"/>
  <c r="L206" i="1"/>
  <c r="J206" i="1"/>
  <c r="N206" i="1" s="1"/>
  <c r="F206" i="1"/>
  <c r="C206" i="1"/>
  <c r="M205" i="1"/>
  <c r="N205" i="1" s="1"/>
  <c r="L205" i="1"/>
  <c r="J205" i="1"/>
  <c r="F205" i="1"/>
  <c r="C205" i="1"/>
  <c r="M204" i="1"/>
  <c r="N204" i="1" s="1"/>
  <c r="L204" i="1"/>
  <c r="J204" i="1"/>
  <c r="F204" i="1"/>
  <c r="C204" i="1"/>
  <c r="M203" i="1"/>
  <c r="L203" i="1"/>
  <c r="J203" i="1"/>
  <c r="F203" i="1"/>
  <c r="C203" i="1"/>
  <c r="M202" i="1"/>
  <c r="N202" i="1" s="1"/>
  <c r="L202" i="1"/>
  <c r="J202" i="1"/>
  <c r="F202" i="1"/>
  <c r="C202" i="1"/>
  <c r="N201" i="1"/>
  <c r="M201" i="1"/>
  <c r="L201" i="1"/>
  <c r="J201" i="1"/>
  <c r="F201" i="1"/>
  <c r="C201" i="1"/>
  <c r="M200" i="1"/>
  <c r="N200" i="1" s="1"/>
  <c r="L200" i="1"/>
  <c r="J200" i="1"/>
  <c r="F200" i="1"/>
  <c r="C200" i="1"/>
  <c r="N199" i="1"/>
  <c r="M199" i="1"/>
  <c r="L199" i="1"/>
  <c r="J199" i="1"/>
  <c r="F199" i="1"/>
  <c r="C199" i="1"/>
  <c r="N198" i="1"/>
  <c r="M198" i="1"/>
  <c r="L198" i="1"/>
  <c r="J198" i="1"/>
  <c r="F198" i="1"/>
  <c r="C198" i="1"/>
  <c r="M197" i="1"/>
  <c r="N197" i="1" s="1"/>
  <c r="L197" i="1"/>
  <c r="J197" i="1"/>
  <c r="F197" i="1"/>
  <c r="C197" i="1"/>
  <c r="N196" i="1"/>
  <c r="M196" i="1"/>
  <c r="L196" i="1"/>
  <c r="J196" i="1"/>
  <c r="F196" i="1"/>
  <c r="C196" i="1"/>
  <c r="M195" i="1"/>
  <c r="L195" i="1"/>
  <c r="J195" i="1"/>
  <c r="N195" i="1" s="1"/>
  <c r="F195" i="1"/>
  <c r="C195" i="1"/>
  <c r="N194" i="1"/>
  <c r="M194" i="1"/>
  <c r="L194" i="1"/>
  <c r="J194" i="1"/>
  <c r="F194" i="1"/>
  <c r="C194" i="1"/>
  <c r="M193" i="1"/>
  <c r="L193" i="1"/>
  <c r="J193" i="1"/>
  <c r="N193" i="1" s="1"/>
  <c r="F193" i="1"/>
  <c r="C193" i="1"/>
  <c r="M192" i="1"/>
  <c r="L192" i="1"/>
  <c r="J192" i="1"/>
  <c r="N192" i="1" s="1"/>
  <c r="F192" i="1"/>
  <c r="C192" i="1"/>
  <c r="M191" i="1"/>
  <c r="L191" i="1"/>
  <c r="J191" i="1"/>
  <c r="N191" i="1" s="1"/>
  <c r="F191" i="1"/>
  <c r="C191" i="1"/>
  <c r="M190" i="1"/>
  <c r="L190" i="1"/>
  <c r="J190" i="1"/>
  <c r="N190" i="1" s="1"/>
  <c r="F190" i="1"/>
  <c r="C190" i="1"/>
  <c r="M189" i="1"/>
  <c r="N189" i="1" s="1"/>
  <c r="L189" i="1"/>
  <c r="J189" i="1"/>
  <c r="F189" i="1"/>
  <c r="C189" i="1"/>
  <c r="M188" i="1"/>
  <c r="N188" i="1" s="1"/>
  <c r="L188" i="1"/>
  <c r="J188" i="1"/>
  <c r="F188" i="1"/>
  <c r="C188" i="1"/>
  <c r="M187" i="1"/>
  <c r="L187" i="1"/>
  <c r="J187" i="1"/>
  <c r="F187" i="1"/>
  <c r="C187" i="1"/>
  <c r="M186" i="1"/>
  <c r="N186" i="1" s="1"/>
  <c r="L186" i="1"/>
  <c r="J186" i="1"/>
  <c r="F186" i="1"/>
  <c r="C186" i="1"/>
  <c r="N185" i="1"/>
  <c r="M185" i="1"/>
  <c r="L185" i="1"/>
  <c r="J185" i="1"/>
  <c r="F185" i="1"/>
  <c r="C185" i="1"/>
  <c r="N184" i="1"/>
  <c r="M184" i="1"/>
  <c r="L184" i="1"/>
  <c r="J184" i="1"/>
  <c r="F184" i="1"/>
  <c r="C184" i="1"/>
  <c r="M183" i="1"/>
  <c r="N183" i="1" s="1"/>
  <c r="L183" i="1"/>
  <c r="J183" i="1"/>
  <c r="F183" i="1"/>
  <c r="C183" i="1"/>
  <c r="N182" i="1"/>
  <c r="M182" i="1"/>
  <c r="L182" i="1"/>
  <c r="J182" i="1"/>
  <c r="F182" i="1"/>
  <c r="C182" i="1"/>
  <c r="M181" i="1"/>
  <c r="N181" i="1" s="1"/>
  <c r="L181" i="1"/>
  <c r="J181" i="1"/>
  <c r="F181" i="1"/>
  <c r="C181" i="1"/>
  <c r="N180" i="1"/>
  <c r="M180" i="1"/>
  <c r="L180" i="1"/>
  <c r="J180" i="1"/>
  <c r="F180" i="1"/>
  <c r="C180" i="1"/>
  <c r="M179" i="1"/>
  <c r="L179" i="1"/>
  <c r="J179" i="1"/>
  <c r="N179" i="1" s="1"/>
  <c r="F179" i="1"/>
  <c r="C179" i="1"/>
  <c r="N178" i="1"/>
  <c r="M178" i="1"/>
  <c r="L178" i="1"/>
  <c r="J178" i="1"/>
  <c r="F178" i="1"/>
  <c r="C178" i="1"/>
  <c r="M177" i="1"/>
  <c r="L177" i="1"/>
  <c r="J177" i="1"/>
  <c r="N177" i="1" s="1"/>
  <c r="F177" i="1"/>
  <c r="C177" i="1"/>
  <c r="M176" i="1"/>
  <c r="L176" i="1"/>
  <c r="J176" i="1"/>
  <c r="N176" i="1" s="1"/>
  <c r="F176" i="1"/>
  <c r="C176" i="1"/>
  <c r="M175" i="1"/>
  <c r="L175" i="1"/>
  <c r="J175" i="1"/>
  <c r="N175" i="1" s="1"/>
  <c r="F175" i="1"/>
  <c r="C175" i="1"/>
  <c r="M174" i="1"/>
  <c r="L174" i="1"/>
  <c r="J174" i="1"/>
  <c r="N174" i="1" s="1"/>
  <c r="F174" i="1"/>
  <c r="C174" i="1"/>
  <c r="M173" i="1"/>
  <c r="L173" i="1"/>
  <c r="J173" i="1"/>
  <c r="F173" i="1"/>
  <c r="C173" i="1"/>
  <c r="M172" i="1"/>
  <c r="N172" i="1" s="1"/>
  <c r="L172" i="1"/>
  <c r="J172" i="1"/>
  <c r="F172" i="1"/>
  <c r="C172" i="1"/>
  <c r="M171" i="1"/>
  <c r="L171" i="1"/>
  <c r="J171" i="1"/>
  <c r="F171" i="1"/>
  <c r="C171" i="1"/>
  <c r="M170" i="1"/>
  <c r="N170" i="1" s="1"/>
  <c r="L170" i="1"/>
  <c r="J170" i="1"/>
  <c r="F170" i="1"/>
  <c r="C170" i="1"/>
  <c r="M169" i="1"/>
  <c r="N169" i="1" s="1"/>
  <c r="L169" i="1"/>
  <c r="J169" i="1"/>
  <c r="F169" i="1"/>
  <c r="C169" i="1"/>
  <c r="N168" i="1"/>
  <c r="M168" i="1"/>
  <c r="L168" i="1"/>
  <c r="J168" i="1"/>
  <c r="F168" i="1"/>
  <c r="C168" i="1"/>
  <c r="M167" i="1"/>
  <c r="N167" i="1" s="1"/>
  <c r="L167" i="1"/>
  <c r="J167" i="1"/>
  <c r="F167" i="1"/>
  <c r="C167" i="1"/>
  <c r="N166" i="1"/>
  <c r="M166" i="1"/>
  <c r="L166" i="1"/>
  <c r="J166" i="1"/>
  <c r="F166" i="1"/>
  <c r="C166" i="1"/>
  <c r="M165" i="1"/>
  <c r="N165" i="1" s="1"/>
  <c r="L165" i="1"/>
  <c r="J165" i="1"/>
  <c r="F165" i="1"/>
  <c r="C165" i="1"/>
  <c r="N164" i="1"/>
  <c r="M164" i="1"/>
  <c r="L164" i="1"/>
  <c r="J164" i="1"/>
  <c r="F164" i="1"/>
  <c r="C164" i="1"/>
  <c r="M163" i="1"/>
  <c r="L163" i="1"/>
  <c r="J163" i="1"/>
  <c r="N163" i="1" s="1"/>
  <c r="F163" i="1"/>
  <c r="C163" i="1"/>
  <c r="N162" i="1"/>
  <c r="M162" i="1"/>
  <c r="L162" i="1"/>
  <c r="J162" i="1"/>
  <c r="F162" i="1"/>
  <c r="C162" i="1"/>
  <c r="M161" i="1"/>
  <c r="L161" i="1"/>
  <c r="J161" i="1"/>
  <c r="N161" i="1" s="1"/>
  <c r="F161" i="1"/>
  <c r="C161" i="1"/>
  <c r="M160" i="1"/>
  <c r="L160" i="1"/>
  <c r="J160" i="1"/>
  <c r="N160" i="1" s="1"/>
  <c r="F160" i="1"/>
  <c r="C160" i="1"/>
  <c r="M159" i="1"/>
  <c r="L159" i="1"/>
  <c r="J159" i="1"/>
  <c r="N159" i="1" s="1"/>
  <c r="F159" i="1"/>
  <c r="C159" i="1"/>
  <c r="M158" i="1"/>
  <c r="L158" i="1"/>
  <c r="J158" i="1"/>
  <c r="F158" i="1"/>
  <c r="C158" i="1"/>
  <c r="M157" i="1"/>
  <c r="N157" i="1" s="1"/>
  <c r="L157" i="1"/>
  <c r="J157" i="1"/>
  <c r="F157" i="1"/>
  <c r="C157" i="1"/>
  <c r="M156" i="1"/>
  <c r="N156" i="1" s="1"/>
  <c r="L156" i="1"/>
  <c r="J156" i="1"/>
  <c r="F156" i="1"/>
  <c r="C156" i="1"/>
  <c r="M155" i="1"/>
  <c r="N155" i="1" s="1"/>
  <c r="L155" i="1"/>
  <c r="J155" i="1"/>
  <c r="F155" i="1"/>
  <c r="C155" i="1"/>
  <c r="M154" i="1"/>
  <c r="N154" i="1" s="1"/>
  <c r="L154" i="1"/>
  <c r="J154" i="1"/>
  <c r="F154" i="1"/>
  <c r="C154" i="1"/>
  <c r="M153" i="1"/>
  <c r="N153" i="1" s="1"/>
  <c r="L153" i="1"/>
  <c r="J153" i="1"/>
  <c r="F153" i="1"/>
  <c r="C153" i="1"/>
  <c r="N152" i="1"/>
  <c r="M152" i="1"/>
  <c r="L152" i="1"/>
  <c r="J152" i="1"/>
  <c r="F152" i="1"/>
  <c r="C152" i="1"/>
  <c r="M151" i="1"/>
  <c r="N151" i="1" s="1"/>
  <c r="L151" i="1"/>
  <c r="J151" i="1"/>
  <c r="F151" i="1"/>
  <c r="C151" i="1"/>
  <c r="N150" i="1"/>
  <c r="M150" i="1"/>
  <c r="L150" i="1"/>
  <c r="J150" i="1"/>
  <c r="F150" i="1"/>
  <c r="C150" i="1"/>
  <c r="N149" i="1"/>
  <c r="M149" i="1"/>
  <c r="L149" i="1"/>
  <c r="J149" i="1"/>
  <c r="F149" i="1"/>
  <c r="C149" i="1"/>
  <c r="N148" i="1"/>
  <c r="M148" i="1"/>
  <c r="L148" i="1"/>
  <c r="J148" i="1"/>
  <c r="F148" i="1"/>
  <c r="C148" i="1"/>
  <c r="M147" i="1"/>
  <c r="L147" i="1"/>
  <c r="J147" i="1"/>
  <c r="N147" i="1" s="1"/>
  <c r="F147" i="1"/>
  <c r="C147" i="1"/>
  <c r="N146" i="1"/>
  <c r="M146" i="1"/>
  <c r="L146" i="1"/>
  <c r="J146" i="1"/>
  <c r="F146" i="1"/>
  <c r="C146" i="1"/>
  <c r="M145" i="1"/>
  <c r="L145" i="1"/>
  <c r="J145" i="1"/>
  <c r="N145" i="1" s="1"/>
  <c r="F145" i="1"/>
  <c r="C145" i="1"/>
  <c r="M144" i="1"/>
  <c r="N144" i="1" s="1"/>
  <c r="L144" i="1"/>
  <c r="J144" i="1"/>
  <c r="F144" i="1"/>
  <c r="C144" i="1"/>
  <c r="M143" i="1"/>
  <c r="N143" i="1" s="1"/>
  <c r="L143" i="1"/>
  <c r="J143" i="1"/>
  <c r="F143" i="1"/>
  <c r="C143" i="1"/>
  <c r="M142" i="1"/>
  <c r="L142" i="1"/>
  <c r="J142" i="1"/>
  <c r="F142" i="1"/>
  <c r="C142" i="1"/>
  <c r="M141" i="1"/>
  <c r="N141" i="1" s="1"/>
  <c r="L141" i="1"/>
  <c r="J141" i="1"/>
  <c r="F141" i="1"/>
  <c r="C141" i="1"/>
  <c r="M140" i="1"/>
  <c r="N140" i="1" s="1"/>
  <c r="L140" i="1"/>
  <c r="J140" i="1"/>
  <c r="F140" i="1"/>
  <c r="C140" i="1"/>
  <c r="M139" i="1"/>
  <c r="L139" i="1"/>
  <c r="J139" i="1"/>
  <c r="F139" i="1"/>
  <c r="C139" i="1"/>
  <c r="M138" i="1"/>
  <c r="N138" i="1" s="1"/>
  <c r="L138" i="1"/>
  <c r="J138" i="1"/>
  <c r="F138" i="1"/>
  <c r="C138" i="1"/>
  <c r="M137" i="1"/>
  <c r="N137" i="1" s="1"/>
  <c r="L137" i="1"/>
  <c r="J137" i="1"/>
  <c r="F137" i="1"/>
  <c r="C137" i="1"/>
  <c r="N136" i="1"/>
  <c r="M136" i="1"/>
  <c r="L136" i="1"/>
  <c r="J136" i="1"/>
  <c r="F136" i="1"/>
  <c r="C136" i="1"/>
  <c r="M135" i="1"/>
  <c r="N135" i="1" s="1"/>
  <c r="L135" i="1"/>
  <c r="J135" i="1"/>
  <c r="F135" i="1"/>
  <c r="C135" i="1"/>
  <c r="N134" i="1"/>
  <c r="M134" i="1"/>
  <c r="L134" i="1"/>
  <c r="J134" i="1"/>
  <c r="F134" i="1"/>
  <c r="C134" i="1"/>
  <c r="N133" i="1"/>
  <c r="M133" i="1"/>
  <c r="L133" i="1"/>
  <c r="J133" i="1"/>
  <c r="F133" i="1"/>
  <c r="C133" i="1"/>
  <c r="N132" i="1"/>
  <c r="M132" i="1"/>
  <c r="L132" i="1"/>
  <c r="J132" i="1"/>
  <c r="F132" i="1"/>
  <c r="C132" i="1"/>
  <c r="M131" i="1"/>
  <c r="L131" i="1"/>
  <c r="J131" i="1"/>
  <c r="N131" i="1" s="1"/>
  <c r="F131" i="1"/>
  <c r="C131" i="1"/>
  <c r="N130" i="1"/>
  <c r="M130" i="1"/>
  <c r="L130" i="1"/>
  <c r="J130" i="1"/>
  <c r="F130" i="1"/>
  <c r="C130" i="1"/>
  <c r="M129" i="1"/>
  <c r="L129" i="1"/>
  <c r="J129" i="1"/>
  <c r="N129" i="1" s="1"/>
  <c r="F129" i="1"/>
  <c r="C129" i="1"/>
  <c r="M128" i="1"/>
  <c r="L128" i="1"/>
  <c r="J128" i="1"/>
  <c r="F128" i="1"/>
  <c r="C128" i="1"/>
  <c r="M127" i="1"/>
  <c r="L127" i="1"/>
  <c r="J127" i="1"/>
  <c r="N127" i="1" s="1"/>
  <c r="F127" i="1"/>
  <c r="C127" i="1"/>
  <c r="M126" i="1"/>
  <c r="L126" i="1"/>
  <c r="J126" i="1"/>
  <c r="N126" i="1" s="1"/>
  <c r="F126" i="1"/>
  <c r="C126" i="1"/>
  <c r="M125" i="1"/>
  <c r="L125" i="1"/>
  <c r="J125" i="1"/>
  <c r="F125" i="1"/>
  <c r="C125" i="1"/>
  <c r="M124" i="1"/>
  <c r="N124" i="1" s="1"/>
  <c r="L124" i="1"/>
  <c r="J124" i="1"/>
  <c r="F124" i="1"/>
  <c r="C124" i="1"/>
  <c r="M123" i="1"/>
  <c r="L123" i="1"/>
  <c r="J123" i="1"/>
  <c r="F123" i="1"/>
  <c r="C123" i="1"/>
  <c r="M122" i="1"/>
  <c r="N122" i="1" s="1"/>
  <c r="L122" i="1"/>
  <c r="J122" i="1"/>
  <c r="F122" i="1"/>
  <c r="C122" i="1"/>
  <c r="M121" i="1"/>
  <c r="N121" i="1" s="1"/>
  <c r="L121" i="1"/>
  <c r="J121" i="1"/>
  <c r="F121" i="1"/>
  <c r="C121" i="1"/>
  <c r="M120" i="1"/>
  <c r="N120" i="1" s="1"/>
  <c r="L120" i="1"/>
  <c r="J120" i="1"/>
  <c r="F120" i="1"/>
  <c r="C120" i="1"/>
  <c r="N119" i="1"/>
  <c r="M119" i="1"/>
  <c r="L119" i="1"/>
  <c r="J119" i="1"/>
  <c r="F119" i="1"/>
  <c r="C119" i="1"/>
  <c r="N118" i="1"/>
  <c r="M118" i="1"/>
  <c r="L118" i="1"/>
  <c r="J118" i="1"/>
  <c r="F118" i="1"/>
  <c r="C118" i="1"/>
  <c r="N117" i="1"/>
  <c r="M117" i="1"/>
  <c r="L117" i="1"/>
  <c r="J117" i="1"/>
  <c r="F117" i="1"/>
  <c r="C117" i="1"/>
  <c r="N116" i="1"/>
  <c r="M116" i="1"/>
  <c r="L116" i="1"/>
  <c r="J116" i="1"/>
  <c r="F116" i="1"/>
  <c r="C116" i="1"/>
  <c r="M115" i="1"/>
  <c r="L115" i="1"/>
  <c r="J115" i="1"/>
  <c r="N115" i="1" s="1"/>
  <c r="F115" i="1"/>
  <c r="C115" i="1"/>
  <c r="N114" i="1"/>
  <c r="M114" i="1"/>
  <c r="L114" i="1"/>
  <c r="J114" i="1"/>
  <c r="F114" i="1"/>
  <c r="C114" i="1"/>
  <c r="M113" i="1"/>
  <c r="L113" i="1"/>
  <c r="J113" i="1"/>
  <c r="N113" i="1" s="1"/>
  <c r="F113" i="1"/>
  <c r="C113" i="1"/>
  <c r="M112" i="1"/>
  <c r="N112" i="1" s="1"/>
  <c r="L112" i="1"/>
  <c r="J112" i="1"/>
  <c r="F112" i="1"/>
  <c r="C112" i="1"/>
  <c r="M111" i="1"/>
  <c r="L111" i="1"/>
  <c r="J111" i="1"/>
  <c r="N111" i="1" s="1"/>
  <c r="F111" i="1"/>
  <c r="C111" i="1"/>
  <c r="M110" i="1"/>
  <c r="N110" i="1" s="1"/>
  <c r="L110" i="1"/>
  <c r="J110" i="1"/>
  <c r="F110" i="1"/>
  <c r="C110" i="1"/>
  <c r="M109" i="1"/>
  <c r="L109" i="1"/>
  <c r="J109" i="1"/>
  <c r="F109" i="1"/>
  <c r="C109" i="1"/>
  <c r="M108" i="1"/>
  <c r="N108" i="1" s="1"/>
  <c r="L108" i="1"/>
  <c r="J108" i="1"/>
  <c r="F108" i="1"/>
  <c r="C108" i="1"/>
  <c r="M107" i="1"/>
  <c r="N107" i="1" s="1"/>
  <c r="L107" i="1"/>
  <c r="J107" i="1"/>
  <c r="F107" i="1"/>
  <c r="C107" i="1"/>
  <c r="M106" i="1"/>
  <c r="N106" i="1" s="1"/>
  <c r="L106" i="1"/>
  <c r="J106" i="1"/>
  <c r="F106" i="1"/>
  <c r="C106" i="1"/>
  <c r="M105" i="1"/>
  <c r="N105" i="1" s="1"/>
  <c r="L105" i="1"/>
  <c r="J105" i="1"/>
  <c r="F105" i="1"/>
  <c r="C105" i="1"/>
  <c r="M104" i="1"/>
  <c r="N104" i="1" s="1"/>
  <c r="L104" i="1"/>
  <c r="J104" i="1"/>
  <c r="F104" i="1"/>
  <c r="C104" i="1"/>
  <c r="M103" i="1"/>
  <c r="N103" i="1" s="1"/>
  <c r="L103" i="1"/>
  <c r="J103" i="1"/>
  <c r="F103" i="1"/>
  <c r="C103" i="1"/>
  <c r="N102" i="1"/>
  <c r="M102" i="1"/>
  <c r="L102" i="1"/>
  <c r="J102" i="1"/>
  <c r="F102" i="1"/>
  <c r="C102" i="1"/>
  <c r="M101" i="1"/>
  <c r="N101" i="1" s="1"/>
  <c r="L101" i="1"/>
  <c r="J101" i="1"/>
  <c r="F101" i="1"/>
  <c r="C101" i="1"/>
  <c r="N100" i="1"/>
  <c r="M100" i="1"/>
  <c r="L100" i="1"/>
  <c r="J100" i="1"/>
  <c r="F100" i="1"/>
  <c r="C100" i="1"/>
  <c r="M99" i="1"/>
  <c r="L99" i="1"/>
  <c r="J99" i="1"/>
  <c r="N99" i="1" s="1"/>
  <c r="F99" i="1"/>
  <c r="C99" i="1"/>
  <c r="N98" i="1"/>
  <c r="M98" i="1"/>
  <c r="L98" i="1"/>
  <c r="J98" i="1"/>
  <c r="F98" i="1"/>
  <c r="C98" i="1"/>
  <c r="M97" i="1"/>
  <c r="L97" i="1"/>
  <c r="J97" i="1"/>
  <c r="N97" i="1" s="1"/>
  <c r="F97" i="1"/>
  <c r="C97" i="1"/>
  <c r="M96" i="1"/>
  <c r="L96" i="1"/>
  <c r="J96" i="1"/>
  <c r="F96" i="1"/>
  <c r="C96" i="1"/>
  <c r="M95" i="1"/>
  <c r="L95" i="1"/>
  <c r="J95" i="1"/>
  <c r="N95" i="1" s="1"/>
  <c r="F95" i="1"/>
  <c r="C95" i="1"/>
  <c r="M94" i="1"/>
  <c r="L94" i="1"/>
  <c r="J94" i="1"/>
  <c r="F94" i="1"/>
  <c r="C94" i="1"/>
  <c r="M93" i="1"/>
  <c r="L93" i="1"/>
  <c r="J93" i="1"/>
  <c r="N93" i="1" s="1"/>
  <c r="F93" i="1"/>
  <c r="C93" i="1"/>
  <c r="M92" i="1"/>
  <c r="N92" i="1" s="1"/>
  <c r="L92" i="1"/>
  <c r="J92" i="1"/>
  <c r="F92" i="1"/>
  <c r="C92" i="1"/>
  <c r="M91" i="1"/>
  <c r="L91" i="1"/>
  <c r="J91" i="1"/>
  <c r="F91" i="1"/>
  <c r="C91" i="1"/>
  <c r="M90" i="1"/>
  <c r="N90" i="1" s="1"/>
  <c r="L90" i="1"/>
  <c r="J90" i="1"/>
  <c r="F90" i="1"/>
  <c r="C90" i="1"/>
  <c r="M89" i="1"/>
  <c r="N89" i="1" s="1"/>
  <c r="L89" i="1"/>
  <c r="J89" i="1"/>
  <c r="F89" i="1"/>
  <c r="C89" i="1"/>
  <c r="M88" i="1"/>
  <c r="N88" i="1" s="1"/>
  <c r="L88" i="1"/>
  <c r="J88" i="1"/>
  <c r="F88" i="1"/>
  <c r="C88" i="1"/>
  <c r="M87" i="1"/>
  <c r="N87" i="1" s="1"/>
  <c r="L87" i="1"/>
  <c r="J87" i="1"/>
  <c r="F87" i="1"/>
  <c r="C87" i="1"/>
  <c r="N86" i="1"/>
  <c r="M86" i="1"/>
  <c r="L86" i="1"/>
  <c r="J86" i="1"/>
  <c r="F86" i="1"/>
  <c r="C86" i="1"/>
  <c r="M85" i="1"/>
  <c r="N85" i="1" s="1"/>
  <c r="L85" i="1"/>
  <c r="J85" i="1"/>
  <c r="F85" i="1"/>
  <c r="C85" i="1"/>
  <c r="M84" i="1"/>
  <c r="N84" i="1" s="1"/>
  <c r="L84" i="1"/>
  <c r="J84" i="1"/>
  <c r="F84" i="1"/>
  <c r="C84" i="1"/>
  <c r="M83" i="1"/>
  <c r="L83" i="1"/>
  <c r="J83" i="1"/>
  <c r="N83" i="1" s="1"/>
  <c r="F83" i="1"/>
  <c r="C83" i="1"/>
  <c r="N82" i="1"/>
  <c r="M82" i="1"/>
  <c r="L82" i="1"/>
  <c r="J82" i="1"/>
  <c r="F82" i="1"/>
  <c r="C82" i="1"/>
  <c r="M81" i="1"/>
  <c r="L81" i="1"/>
  <c r="J81" i="1"/>
  <c r="N81" i="1" s="1"/>
  <c r="F81" i="1"/>
  <c r="C81" i="1"/>
  <c r="M80" i="1"/>
  <c r="N80" i="1" s="1"/>
  <c r="L80" i="1"/>
  <c r="J80" i="1"/>
  <c r="F80" i="1"/>
  <c r="C80" i="1"/>
  <c r="N79" i="1"/>
  <c r="M79" i="1"/>
  <c r="L79" i="1"/>
  <c r="J79" i="1"/>
  <c r="F79" i="1"/>
  <c r="C79" i="1"/>
  <c r="M78" i="1"/>
  <c r="L78" i="1"/>
  <c r="J78" i="1"/>
  <c r="F78" i="1"/>
  <c r="C78" i="1"/>
  <c r="N77" i="1"/>
  <c r="M77" i="1"/>
  <c r="L77" i="1"/>
  <c r="J77" i="1"/>
  <c r="F77" i="1"/>
  <c r="C77" i="1"/>
  <c r="M76" i="1"/>
  <c r="N76" i="1" s="1"/>
  <c r="L76" i="1"/>
  <c r="J76" i="1"/>
  <c r="F76" i="1"/>
  <c r="C76" i="1"/>
  <c r="M75" i="1"/>
  <c r="N75" i="1" s="1"/>
  <c r="L75" i="1"/>
  <c r="J75" i="1"/>
  <c r="F75" i="1"/>
  <c r="C75" i="1"/>
  <c r="M74" i="1"/>
  <c r="N74" i="1" s="1"/>
  <c r="L74" i="1"/>
  <c r="J74" i="1"/>
  <c r="F74" i="1"/>
  <c r="C74" i="1"/>
  <c r="N73" i="1"/>
  <c r="M73" i="1"/>
  <c r="L73" i="1"/>
  <c r="J73" i="1"/>
  <c r="F73" i="1"/>
  <c r="C73" i="1"/>
  <c r="N72" i="1"/>
  <c r="M72" i="1"/>
  <c r="L72" i="1"/>
  <c r="J72" i="1"/>
  <c r="F72" i="1"/>
  <c r="C72" i="1"/>
  <c r="M71" i="1"/>
  <c r="N71" i="1" s="1"/>
  <c r="L71" i="1"/>
  <c r="J71" i="1"/>
  <c r="F71" i="1"/>
  <c r="C71" i="1"/>
  <c r="M70" i="1"/>
  <c r="L70" i="1"/>
  <c r="J70" i="1"/>
  <c r="N70" i="1" s="1"/>
  <c r="F70" i="1"/>
  <c r="C70" i="1"/>
  <c r="M69" i="1"/>
  <c r="N69" i="1" s="1"/>
  <c r="L69" i="1"/>
  <c r="J69" i="1"/>
  <c r="F69" i="1"/>
  <c r="C69" i="1"/>
  <c r="M68" i="1"/>
  <c r="N68" i="1" s="1"/>
  <c r="L68" i="1"/>
  <c r="J68" i="1"/>
  <c r="F68" i="1"/>
  <c r="C68" i="1"/>
  <c r="M67" i="1"/>
  <c r="L67" i="1"/>
  <c r="J67" i="1"/>
  <c r="N67" i="1" s="1"/>
  <c r="F67" i="1"/>
  <c r="C67" i="1"/>
  <c r="M66" i="1"/>
  <c r="N66" i="1" s="1"/>
  <c r="L66" i="1"/>
  <c r="J66" i="1"/>
  <c r="F66" i="1"/>
  <c r="C66" i="1"/>
  <c r="M65" i="1"/>
  <c r="L65" i="1"/>
  <c r="J65" i="1"/>
  <c r="N65" i="1" s="1"/>
  <c r="F65" i="1"/>
  <c r="C65" i="1"/>
  <c r="M64" i="1"/>
  <c r="N64" i="1" s="1"/>
  <c r="L64" i="1"/>
  <c r="J64" i="1"/>
  <c r="F64" i="1"/>
  <c r="C64" i="1"/>
  <c r="M63" i="1"/>
  <c r="L63" i="1"/>
  <c r="J63" i="1"/>
  <c r="N63" i="1" s="1"/>
  <c r="F63" i="1"/>
  <c r="C63" i="1"/>
  <c r="M62" i="1"/>
  <c r="N62" i="1" s="1"/>
  <c r="L62" i="1"/>
  <c r="J62" i="1"/>
  <c r="F62" i="1"/>
  <c r="C62" i="1"/>
  <c r="M61" i="1"/>
  <c r="N61" i="1" s="1"/>
  <c r="L61" i="1"/>
  <c r="J61" i="1"/>
  <c r="F61" i="1"/>
  <c r="C61" i="1"/>
  <c r="M60" i="1"/>
  <c r="N60" i="1" s="1"/>
  <c r="L60" i="1"/>
  <c r="J60" i="1"/>
  <c r="F60" i="1"/>
  <c r="C60" i="1"/>
  <c r="M59" i="1"/>
  <c r="N59" i="1" s="1"/>
  <c r="L59" i="1"/>
  <c r="J59" i="1"/>
  <c r="F59" i="1"/>
  <c r="C59" i="1"/>
  <c r="M58" i="1"/>
  <c r="N58" i="1" s="1"/>
  <c r="L58" i="1"/>
  <c r="J58" i="1"/>
  <c r="F58" i="1"/>
  <c r="C58" i="1"/>
  <c r="M57" i="1"/>
  <c r="N57" i="1" s="1"/>
  <c r="L57" i="1"/>
  <c r="J57" i="1"/>
  <c r="F57" i="1"/>
  <c r="C57" i="1"/>
  <c r="M56" i="1"/>
  <c r="N56" i="1" s="1"/>
  <c r="L56" i="1"/>
  <c r="J56" i="1"/>
  <c r="F56" i="1"/>
  <c r="C56" i="1"/>
  <c r="M55" i="1"/>
  <c r="N55" i="1" s="1"/>
  <c r="L55" i="1"/>
  <c r="J55" i="1"/>
  <c r="F55" i="1"/>
  <c r="C55" i="1"/>
  <c r="M54" i="1"/>
  <c r="N54" i="1" s="1"/>
  <c r="L54" i="1"/>
  <c r="J54" i="1"/>
  <c r="F54" i="1"/>
  <c r="C54" i="1"/>
  <c r="M53" i="1"/>
  <c r="N53" i="1" s="1"/>
  <c r="L53" i="1"/>
  <c r="J53" i="1"/>
  <c r="F53" i="1"/>
  <c r="C53" i="1"/>
  <c r="M52" i="1"/>
  <c r="N52" i="1" s="1"/>
  <c r="L52" i="1"/>
  <c r="J52" i="1"/>
  <c r="F52" i="1"/>
  <c r="C52" i="1"/>
  <c r="M51" i="1"/>
  <c r="N51" i="1" s="1"/>
  <c r="L51" i="1"/>
  <c r="J51" i="1"/>
  <c r="F51" i="1"/>
  <c r="C51" i="1"/>
  <c r="M50" i="1"/>
  <c r="N50" i="1" s="1"/>
  <c r="L50" i="1"/>
  <c r="J50" i="1"/>
  <c r="F50" i="1"/>
  <c r="C50" i="1"/>
  <c r="M49" i="1"/>
  <c r="L49" i="1"/>
  <c r="J49" i="1"/>
  <c r="N49" i="1" s="1"/>
  <c r="F49" i="1"/>
  <c r="C49" i="1"/>
  <c r="M48" i="1"/>
  <c r="N48" i="1" s="1"/>
  <c r="L48" i="1"/>
  <c r="J48" i="1"/>
  <c r="F48" i="1"/>
  <c r="C48" i="1"/>
  <c r="M47" i="1"/>
  <c r="N47" i="1" s="1"/>
  <c r="L47" i="1"/>
  <c r="J47" i="1"/>
  <c r="F47" i="1"/>
  <c r="C47" i="1"/>
  <c r="M46" i="1"/>
  <c r="L46" i="1"/>
  <c r="J46" i="1"/>
  <c r="F46" i="1"/>
  <c r="C46" i="1"/>
  <c r="N45" i="1"/>
  <c r="M45" i="1"/>
  <c r="L45" i="1"/>
  <c r="J45" i="1"/>
  <c r="F45" i="1"/>
  <c r="C45" i="1"/>
  <c r="M44" i="1"/>
  <c r="N44" i="1" s="1"/>
  <c r="L44" i="1"/>
  <c r="J44" i="1"/>
  <c r="F44" i="1"/>
  <c r="C44" i="1"/>
  <c r="M43" i="1"/>
  <c r="L43" i="1"/>
  <c r="J43" i="1"/>
  <c r="N43" i="1" s="1"/>
  <c r="F43" i="1"/>
  <c r="C43" i="1"/>
  <c r="M42" i="1"/>
  <c r="L42" i="1"/>
  <c r="J42" i="1"/>
  <c r="N42" i="1" s="1"/>
  <c r="F42" i="1"/>
  <c r="C42" i="1"/>
  <c r="M41" i="1"/>
  <c r="N41" i="1" s="1"/>
  <c r="L41" i="1"/>
  <c r="J41" i="1"/>
  <c r="F41" i="1"/>
  <c r="C41" i="1"/>
  <c r="M40" i="1"/>
  <c r="N40" i="1" s="1"/>
  <c r="L40" i="1"/>
  <c r="J40" i="1"/>
  <c r="F40" i="1"/>
  <c r="C40" i="1"/>
  <c r="M39" i="1"/>
  <c r="N39" i="1" s="1"/>
  <c r="L39" i="1"/>
  <c r="J39" i="1"/>
  <c r="F39" i="1"/>
  <c r="C39" i="1"/>
  <c r="M38" i="1"/>
  <c r="N38" i="1" s="1"/>
  <c r="L38" i="1"/>
  <c r="J38" i="1"/>
  <c r="F38" i="1"/>
  <c r="C38" i="1"/>
  <c r="M37" i="1"/>
  <c r="N37" i="1" s="1"/>
  <c r="L37" i="1"/>
  <c r="J37" i="1"/>
  <c r="F37" i="1"/>
  <c r="C37" i="1"/>
  <c r="L36" i="1"/>
  <c r="M36" i="1" s="1"/>
  <c r="N36" i="1" s="1"/>
  <c r="J36" i="1"/>
  <c r="C7" i="7" l="1"/>
  <c r="B18" i="7"/>
  <c r="B15" i="7"/>
  <c r="B29" i="7"/>
  <c r="B26" i="7"/>
  <c r="B37" i="7"/>
  <c r="B24" i="7"/>
  <c r="B22" i="7"/>
  <c r="B28" i="7"/>
  <c r="B35" i="7"/>
  <c r="B27" i="7"/>
  <c r="B30" i="7"/>
  <c r="B17" i="7"/>
  <c r="B39" i="7"/>
  <c r="B31" i="7"/>
  <c r="B9" i="7"/>
  <c r="C8" i="7"/>
  <c r="B23" i="7"/>
  <c r="B14" i="7"/>
  <c r="B38" i="7"/>
  <c r="B25" i="7"/>
  <c r="B16" i="7"/>
  <c r="B36" i="7"/>
  <c r="B34" i="7"/>
  <c r="B21" i="7"/>
  <c r="B32" i="7"/>
  <c r="N219" i="1"/>
  <c r="N158" i="1"/>
  <c r="N78" i="1"/>
  <c r="N187" i="1"/>
  <c r="N46" i="1"/>
  <c r="N173" i="1"/>
  <c r="N125" i="1"/>
  <c r="N139" i="1"/>
  <c r="N109" i="1"/>
  <c r="N123" i="1"/>
  <c r="N128" i="1"/>
  <c r="N142" i="1"/>
  <c r="N171" i="1"/>
  <c r="N251" i="1"/>
  <c r="N299" i="1"/>
  <c r="N91" i="1"/>
  <c r="N96" i="1"/>
  <c r="N203" i="1"/>
  <c r="N94" i="1"/>
  <c r="D256" i="1" a="1"/>
  <c r="D156" i="1" a="1"/>
  <c r="E275" i="1" a="1"/>
  <c r="E210" i="1" a="1"/>
  <c r="E112" i="1" a="1"/>
  <c r="E137" i="1" a="1"/>
  <c r="E231" i="1" a="1"/>
  <c r="E251" i="1" a="1"/>
  <c r="E39" i="1" a="1"/>
  <c r="E145" i="1" a="1"/>
  <c r="D194" i="1" a="1"/>
  <c r="E228" i="1" a="1"/>
  <c r="E151" i="1" a="1"/>
  <c r="E171" i="1" a="1"/>
  <c r="D237" i="1" a="1"/>
  <c r="D184" i="1" a="1"/>
  <c r="E215" i="1" a="1"/>
  <c r="D128" i="1" a="1"/>
  <c r="D157" i="1" a="1"/>
  <c r="D174" i="1" a="1"/>
  <c r="E178" i="1" a="1"/>
  <c r="D224" i="1" a="1"/>
  <c r="D86" i="1" a="1"/>
  <c r="D287" i="1" a="1"/>
  <c r="D152" i="1" a="1"/>
  <c r="E82" i="1" a="1"/>
  <c r="D242" i="1" a="1"/>
  <c r="D215" i="1" a="1"/>
  <c r="E118" i="1" a="1"/>
  <c r="D126" i="1" a="1"/>
  <c r="D90" i="1" a="1"/>
  <c r="E260" i="1" a="1"/>
  <c r="D104" i="1" a="1"/>
  <c r="E93" i="1" a="1"/>
  <c r="E201" i="1" a="1"/>
  <c r="E241" i="1" a="1"/>
  <c r="E219" i="1" a="1"/>
  <c r="D129" i="1" a="1"/>
  <c r="D212" i="1" a="1"/>
  <c r="E177" i="1" a="1"/>
  <c r="D218" i="1" a="1"/>
  <c r="D106" i="1" a="1"/>
  <c r="D103" i="1" a="1"/>
  <c r="E298" i="1" a="1"/>
  <c r="D170" i="1" a="1"/>
  <c r="D107" i="1" a="1"/>
  <c r="E237" i="1" a="1"/>
  <c r="E276" i="1" a="1"/>
  <c r="D105" i="1" a="1"/>
  <c r="E142" i="1" a="1"/>
  <c r="D247" i="1" a="1"/>
  <c r="E138" i="1" a="1"/>
  <c r="D223" i="1" a="1"/>
  <c r="E158" i="1" a="1"/>
  <c r="E269" i="1" a="1"/>
  <c r="E83" i="1" a="1"/>
  <c r="E202" i="1" a="1"/>
  <c r="E91" i="1" a="1"/>
  <c r="E94" i="1" a="1"/>
  <c r="D285" i="1" a="1"/>
  <c r="E204" i="1" a="1"/>
  <c r="D288" i="1" a="1"/>
  <c r="E162" i="1" a="1"/>
  <c r="E223" i="1" a="1"/>
  <c r="E256" i="1" a="1"/>
  <c r="E45" i="1" a="1"/>
  <c r="E274" i="1" a="1"/>
  <c r="D54" i="1" a="1"/>
  <c r="D297" i="1" a="1"/>
  <c r="E44" i="1" a="1"/>
  <c r="D289" i="1" a="1"/>
  <c r="E250" i="1" a="1"/>
  <c r="D272" i="1" a="1"/>
  <c r="E85" i="1" a="1"/>
  <c r="D123" i="1" a="1"/>
  <c r="E238" i="1" a="1"/>
  <c r="D145" i="1" a="1"/>
  <c r="D133" i="1" a="1"/>
  <c r="E38" i="1" a="1"/>
  <c r="D101" i="1" a="1"/>
  <c r="D271" i="1" a="1"/>
  <c r="E149" i="1" a="1"/>
  <c r="E294" i="1" a="1"/>
  <c r="E50" i="1" a="1"/>
  <c r="E100" i="1" a="1"/>
  <c r="E233" i="1" a="1"/>
  <c r="D171" i="1" a="1"/>
  <c r="D162" i="1" a="1"/>
  <c r="E196" i="1" a="1"/>
  <c r="E193" i="1" a="1"/>
  <c r="E48" i="1" a="1"/>
  <c r="D298" i="1" a="1"/>
  <c r="D150" i="1" a="1"/>
  <c r="E297" i="1" a="1"/>
  <c r="D234" i="1" a="1"/>
  <c r="E62" i="1" a="1"/>
  <c r="D246" i="1" a="1"/>
  <c r="D84" i="1" a="1"/>
  <c r="D72" i="1" a="1"/>
  <c r="D115" i="1" a="1"/>
  <c r="E235" i="1" a="1"/>
  <c r="E172" i="1" a="1"/>
  <c r="D185" i="1" a="1"/>
  <c r="E99" i="1" a="1"/>
  <c r="D214" i="1" a="1"/>
  <c r="D278" i="1" a="1"/>
  <c r="E259" i="1" a="1"/>
  <c r="E249" i="1" a="1"/>
  <c r="E182" i="1" a="1"/>
  <c r="D213" i="1" a="1"/>
  <c r="E110" i="1" a="1"/>
  <c r="D94" i="1" a="1"/>
  <c r="E125" i="1" a="1"/>
  <c r="E106" i="1" a="1"/>
  <c r="D201" i="1" a="1"/>
  <c r="E97" i="1" a="1"/>
  <c r="E61" i="1" a="1"/>
  <c r="D235" i="1" a="1"/>
  <c r="D254" i="1" a="1"/>
  <c r="E184" i="1" a="1"/>
  <c r="E278" i="1" a="1"/>
  <c r="D296" i="1" a="1"/>
  <c r="E209" i="1" a="1"/>
  <c r="E51" i="1" a="1"/>
  <c r="D155" i="1" a="1"/>
  <c r="D293" i="1" a="1"/>
  <c r="E287" i="1" a="1"/>
  <c r="D226" i="1" a="1"/>
  <c r="D127" i="1" a="1"/>
  <c r="D219" i="1" a="1"/>
  <c r="E271" i="1" a="1"/>
  <c r="E128" i="1" a="1"/>
  <c r="E191" i="1" a="1"/>
  <c r="D193" i="1" a="1"/>
  <c r="E153" i="1" a="1"/>
  <c r="D225" i="1" a="1"/>
  <c r="E175" i="1" a="1"/>
  <c r="D207" i="1" a="1"/>
  <c r="D274" i="1" a="1"/>
  <c r="D167" i="1" a="1"/>
  <c r="D154" i="1" a="1"/>
  <c r="D60" i="1" a="1"/>
  <c r="D134" i="1" a="1"/>
  <c r="E126" i="1" a="1"/>
  <c r="E242" i="1" a="1"/>
  <c r="E213" i="1" a="1"/>
  <c r="E156" i="1" a="1"/>
  <c r="D158" i="1" a="1"/>
  <c r="E152" i="1" a="1"/>
  <c r="E291" i="1" a="1"/>
  <c r="D121" i="1" a="1"/>
  <c r="D261" i="1" a="1"/>
  <c r="D199" i="1" a="1"/>
  <c r="E157" i="1" a="1"/>
  <c r="E227" i="1" a="1"/>
  <c r="D260" i="1" a="1"/>
  <c r="E179" i="1" a="1"/>
  <c r="E108" i="1" a="1"/>
  <c r="D188" i="1" a="1"/>
  <c r="E117" i="1" a="1"/>
  <c r="D109" i="1" a="1"/>
  <c r="E95" i="1" a="1"/>
  <c r="D112" i="1" a="1"/>
  <c r="E229" i="1" a="1"/>
  <c r="D173" i="1" a="1"/>
  <c r="D97" i="1" a="1"/>
  <c r="E208" i="1" a="1"/>
  <c r="D59" i="1" a="1"/>
  <c r="E187" i="1" a="1"/>
  <c r="D161" i="1" a="1"/>
  <c r="D183" i="1" a="1"/>
  <c r="D50" i="1" a="1"/>
  <c r="D40" i="1" a="1"/>
  <c r="D227" i="1" a="1"/>
  <c r="E284" i="1" a="1"/>
  <c r="D195" i="1" a="1"/>
  <c r="E189" i="1" a="1"/>
  <c r="D290" i="1" a="1"/>
  <c r="D255" i="1" a="1"/>
  <c r="E265" i="1" a="1"/>
  <c r="E92" i="1" a="1"/>
  <c r="E181" i="1" a="1"/>
  <c r="E266" i="1" a="1"/>
  <c r="D139" i="1" a="1"/>
  <c r="E159" i="1" a="1"/>
  <c r="E103" i="1" a="1"/>
  <c r="D222" i="1" a="1"/>
  <c r="D76" i="1" a="1"/>
  <c r="E267" i="1" a="1"/>
  <c r="D292" i="1" a="1"/>
  <c r="E40" i="1" a="1"/>
  <c r="D143" i="1" a="1"/>
  <c r="E240" i="1" a="1"/>
  <c r="E268" i="1" a="1"/>
  <c r="E130" i="1" a="1"/>
  <c r="D182" i="1" a="1"/>
  <c r="D186" i="1" a="1"/>
  <c r="D140" i="1" a="1"/>
  <c r="D238" i="1" a="1"/>
  <c r="D67" i="1" a="1"/>
  <c r="E78" i="1" a="1"/>
  <c r="D206" i="1" a="1"/>
  <c r="E205" i="1" a="1"/>
  <c r="D270" i="1" a="1"/>
  <c r="D42" i="1" a="1"/>
  <c r="E282" i="1" a="1"/>
  <c r="D216" i="1" a="1"/>
  <c r="D263" i="1" a="1"/>
  <c r="D39" i="1" a="1"/>
  <c r="D122" i="1" a="1"/>
  <c r="E68" i="1" a="1"/>
  <c r="D286" i="1" a="1"/>
  <c r="D99" i="1" a="1"/>
  <c r="D190" i="1" a="1"/>
  <c r="D241" i="1" a="1"/>
  <c r="D114" i="1" a="1"/>
  <c r="D88" i="1" a="1"/>
  <c r="D205" i="1" a="1"/>
  <c r="D71" i="1" a="1"/>
  <c r="E107" i="1" a="1"/>
  <c r="D163" i="1" a="1"/>
  <c r="E296" i="1" a="1"/>
  <c r="D210" i="1" a="1"/>
  <c r="D189" i="1" a="1"/>
  <c r="E139" i="1" a="1"/>
  <c r="D120" i="1" a="1"/>
  <c r="E203" i="1" a="1"/>
  <c r="D53" i="1" a="1"/>
  <c r="D295" i="1" a="1"/>
  <c r="D159" i="1" a="1"/>
  <c r="D217" i="1" a="1"/>
  <c r="D124" i="1" a="1"/>
  <c r="D80" i="1" a="1"/>
  <c r="E123" i="1" a="1"/>
  <c r="D130" i="1" a="1"/>
  <c r="D43" i="1" a="1"/>
  <c r="D265" i="1" a="1"/>
  <c r="E299" i="1" a="1"/>
  <c r="D211" i="1" a="1"/>
  <c r="D146" i="1" a="1"/>
  <c r="D252" i="1" a="1"/>
  <c r="E59" i="1" a="1"/>
  <c r="E71" i="1" a="1"/>
  <c r="D113" i="1" a="1"/>
  <c r="E141" i="1" a="1"/>
  <c r="D132" i="1" a="1"/>
  <c r="D283" i="1" a="1"/>
  <c r="E133" i="1" a="1"/>
  <c r="E257" i="1" a="1"/>
  <c r="D228" i="1" a="1"/>
  <c r="E197" i="1" a="1"/>
  <c r="D61" i="1" a="1"/>
  <c r="D45" i="1" a="1"/>
  <c r="E55" i="1" a="1"/>
  <c r="E285" i="1" a="1"/>
  <c r="D147" i="1" a="1"/>
  <c r="E154" i="1" a="1"/>
  <c r="E43" i="1" a="1"/>
  <c r="D198" i="1" a="1"/>
  <c r="D96" i="1" a="1"/>
  <c r="E88" i="1" a="1"/>
  <c r="E105" i="1" a="1"/>
  <c r="E283" i="1" a="1"/>
  <c r="E234" i="1" a="1"/>
  <c r="E148" i="1" a="1"/>
  <c r="E160" i="1" a="1"/>
  <c r="D138" i="1" a="1"/>
  <c r="D294" i="1" a="1"/>
  <c r="E47" i="1" a="1"/>
  <c r="D73" i="1" a="1"/>
  <c r="E255" i="1" a="1"/>
  <c r="D52" i="1" a="1"/>
  <c r="E167" i="1" a="1"/>
  <c r="E280" i="1" a="1"/>
  <c r="D275" i="1" a="1"/>
  <c r="D196" i="1" a="1"/>
  <c r="E252" i="1" a="1"/>
  <c r="E41" i="1" a="1"/>
  <c r="D233" i="1" a="1"/>
  <c r="E52" i="1" a="1"/>
  <c r="E180" i="1" a="1"/>
  <c r="D79" i="1" a="1"/>
  <c r="D172" i="1" a="1"/>
  <c r="E150" i="1" a="1"/>
  <c r="D92" i="1" a="1"/>
  <c r="E286" i="1" a="1"/>
  <c r="E114" i="1" a="1"/>
  <c r="E192" i="1" a="1"/>
  <c r="D179" i="1" a="1"/>
  <c r="D142" i="1" a="1"/>
  <c r="E264" i="1" a="1"/>
  <c r="D37" i="1" a="1"/>
  <c r="D253" i="1" a="1"/>
  <c r="D208" i="1" a="1"/>
  <c r="E65" i="1" a="1"/>
  <c r="D41" i="1" a="1"/>
  <c r="E63" i="1" a="1"/>
  <c r="D244" i="1" a="1"/>
  <c r="E195" i="1" a="1"/>
  <c r="E87" i="1" a="1"/>
  <c r="D62" i="1" a="1"/>
  <c r="D141" i="1" a="1"/>
  <c r="D291" i="1" a="1"/>
  <c r="D187" i="1" a="1"/>
  <c r="E224" i="1" a="1"/>
  <c r="E66" i="1" a="1"/>
  <c r="E119" i="1" a="1"/>
  <c r="D236" i="1" a="1"/>
  <c r="D250" i="1" a="1"/>
  <c r="D251" i="1" a="1"/>
  <c r="D245" i="1" a="1"/>
  <c r="E225" i="1" a="1"/>
  <c r="E244" i="1" a="1"/>
  <c r="E164" i="1" a="1"/>
  <c r="E58" i="1" a="1"/>
  <c r="D87" i="1" a="1"/>
  <c r="E239" i="1" a="1"/>
  <c r="E248" i="1" a="1"/>
  <c r="D258" i="1" a="1"/>
  <c r="D239" i="1" a="1"/>
  <c r="D231" i="1" a="1"/>
  <c r="E121" i="1" a="1"/>
  <c r="D63" i="1" a="1"/>
  <c r="D58" i="1" a="1"/>
  <c r="D281" i="1" a="1"/>
  <c r="D89" i="1" a="1"/>
  <c r="E288" i="1" a="1"/>
  <c r="D230" i="1" a="1"/>
  <c r="D56" i="1" a="1"/>
  <c r="D38" i="1" a="1"/>
  <c r="E174" i="1" a="1"/>
  <c r="E86" i="1" a="1"/>
  <c r="E116" i="1" a="1"/>
  <c r="E183" i="1" a="1"/>
  <c r="D78" i="1" a="1"/>
  <c r="E188" i="1" a="1"/>
  <c r="D169" i="1" a="1"/>
  <c r="E166" i="1" a="1"/>
  <c r="D181" i="1" a="1"/>
  <c r="E246" i="1" a="1"/>
  <c r="E134" i="1" a="1"/>
  <c r="D91" i="1" a="1"/>
  <c r="E272" i="1" a="1"/>
  <c r="D116" i="1" a="1"/>
  <c r="E102" i="1" a="1"/>
  <c r="D264" i="1" a="1"/>
  <c r="D262" i="1" a="1"/>
  <c r="E127" i="1" a="1"/>
  <c r="E247" i="1" a="1"/>
  <c r="E221" i="1" a="1"/>
  <c r="E277" i="1" a="1"/>
  <c r="E122" i="1" a="1"/>
  <c r="E279" i="1" a="1"/>
  <c r="D100" i="1" a="1"/>
  <c r="E206" i="1" a="1"/>
  <c r="E293" i="1" a="1"/>
  <c r="E46" i="1" a="1"/>
  <c r="E281" i="1" a="1"/>
  <c r="E98" i="1" a="1"/>
  <c r="D46" i="1" a="1"/>
  <c r="D249" i="1" a="1"/>
  <c r="D248" i="1" a="1"/>
  <c r="D203" i="1" a="1"/>
  <c r="E300" i="1" a="1"/>
  <c r="E198" i="1" a="1"/>
  <c r="E79" i="1" a="1"/>
  <c r="D119" i="1" a="1"/>
  <c r="D300" i="1" a="1"/>
  <c r="E218" i="1" a="1"/>
  <c r="E140" i="1" a="1"/>
  <c r="D276" i="1" a="1"/>
  <c r="D66" i="1" a="1"/>
  <c r="D178" i="1" a="1"/>
  <c r="E69" i="1" a="1"/>
  <c r="E253" i="1" a="1"/>
  <c r="D266" i="1" a="1"/>
  <c r="E273" i="1" a="1"/>
  <c r="E211" i="1" a="1"/>
  <c r="D180" i="1" a="1"/>
  <c r="D144" i="1" a="1"/>
  <c r="D197" i="1" a="1"/>
  <c r="D200" i="1" a="1"/>
  <c r="D153" i="1" a="1"/>
  <c r="E163" i="1" a="1"/>
  <c r="D98" i="1" a="1"/>
  <c r="E64" i="1" a="1"/>
  <c r="D284" i="1" a="1"/>
  <c r="D269" i="1" a="1"/>
  <c r="D85" i="1" a="1"/>
  <c r="E96" i="1" a="1"/>
  <c r="D148" i="1" a="1"/>
  <c r="E170" i="1" a="1"/>
  <c r="E72" i="1" a="1"/>
  <c r="E258" i="1" a="1"/>
  <c r="D83" i="1" a="1"/>
  <c r="D77" i="1" a="1"/>
  <c r="D151" i="1" a="1"/>
  <c r="E261" i="1" a="1"/>
  <c r="E161" i="1" a="1"/>
  <c r="E56" i="1" a="1"/>
  <c r="E74" i="1" a="1"/>
  <c r="E49" i="1" a="1"/>
  <c r="D164" i="1" a="1"/>
  <c r="E232" i="1" a="1"/>
  <c r="D280" i="1" a="1"/>
  <c r="E143" i="1" a="1"/>
  <c r="E129" i="1" a="1"/>
  <c r="E57" i="1" a="1"/>
  <c r="D259" i="1" a="1"/>
  <c r="D149" i="1" a="1"/>
  <c r="D220" i="1" a="1"/>
  <c r="D166" i="1" a="1"/>
  <c r="D176" i="1" a="1"/>
  <c r="D110" i="1" a="1"/>
  <c r="E230" i="1" a="1"/>
  <c r="D282" i="1" a="1"/>
  <c r="E168" i="1" a="1"/>
  <c r="E165" i="1" a="1"/>
  <c r="D102" i="1" a="1"/>
  <c r="D192" i="1" a="1"/>
  <c r="D81" i="1" a="1"/>
  <c r="D82" i="1" a="1"/>
  <c r="D47" i="1" a="1"/>
  <c r="E254" i="1" a="1"/>
  <c r="D204" i="1" a="1"/>
  <c r="E77" i="1" a="1"/>
  <c r="D44" i="1" a="1"/>
  <c r="D125" i="1" a="1"/>
  <c r="E104" i="1" a="1"/>
  <c r="E289" i="1" a="1"/>
  <c r="E132" i="1" a="1"/>
  <c r="E89" i="1" a="1"/>
  <c r="D68" i="1" a="1"/>
  <c r="E73" i="1" a="1"/>
  <c r="D64" i="1" a="1"/>
  <c r="E101" i="1" a="1"/>
  <c r="E109" i="1" a="1"/>
  <c r="D95" i="1" a="1"/>
  <c r="E111" i="1" a="1"/>
  <c r="E80" i="1" a="1"/>
  <c r="D137" i="1" a="1"/>
  <c r="D232" i="1" a="1"/>
  <c r="E217" i="1" a="1"/>
  <c r="E270" i="1" a="1"/>
  <c r="E53" i="1" a="1"/>
  <c r="E173" i="1" a="1"/>
  <c r="D277" i="1" a="1"/>
  <c r="E37" i="1" a="1"/>
  <c r="E70" i="1" a="1"/>
  <c r="E144" i="1" a="1"/>
  <c r="E146" i="1" a="1"/>
  <c r="E243" i="1" a="1"/>
  <c r="E236" i="1" a="1"/>
  <c r="E120" i="1" a="1"/>
  <c r="E54" i="1" a="1"/>
  <c r="D221" i="1" a="1"/>
  <c r="E263" i="1" a="1"/>
  <c r="E212" i="1" a="1"/>
  <c r="E42" i="1" a="1"/>
  <c r="D51" i="1" a="1"/>
  <c r="D131" i="1" a="1"/>
  <c r="D209" i="1" a="1"/>
  <c r="E290" i="1" a="1"/>
  <c r="E190" i="1" a="1"/>
  <c r="D57" i="1" a="1"/>
  <c r="E90" i="1" a="1"/>
  <c r="E84" i="1" a="1"/>
  <c r="E226" i="1" a="1"/>
  <c r="D69" i="1" a="1"/>
  <c r="E214" i="1" a="1"/>
  <c r="D165" i="1" a="1"/>
  <c r="E185" i="1" a="1"/>
  <c r="E207" i="1" a="1"/>
  <c r="D70" i="1" a="1"/>
  <c r="D49" i="1" a="1"/>
  <c r="E147" i="1" a="1"/>
  <c r="D268" i="1" a="1"/>
  <c r="D229" i="1" a="1"/>
  <c r="D111" i="1" a="1"/>
  <c r="E169" i="1" a="1"/>
  <c r="D55" i="1" a="1"/>
  <c r="D118" i="1" a="1"/>
  <c r="E81" i="1" a="1"/>
  <c r="D299" i="1" a="1"/>
  <c r="E245" i="1" a="1"/>
  <c r="D74" i="1" a="1"/>
  <c r="E67" i="1" a="1"/>
  <c r="D243" i="1" a="1"/>
  <c r="D93" i="1" a="1"/>
  <c r="D108" i="1" a="1"/>
  <c r="E115" i="1" a="1"/>
  <c r="E155" i="1" a="1"/>
  <c r="E113" i="1" a="1"/>
  <c r="E194" i="1" a="1"/>
  <c r="D160" i="1" a="1"/>
  <c r="E131" i="1" a="1"/>
  <c r="D136" i="1" a="1"/>
  <c r="D202" i="1" a="1"/>
  <c r="D75" i="1" a="1"/>
  <c r="D177" i="1" a="1"/>
  <c r="E292" i="1" a="1"/>
  <c r="E295" i="1" a="1"/>
  <c r="D240" i="1" a="1"/>
  <c r="D273" i="1" a="1"/>
  <c r="E60" i="1" a="1"/>
  <c r="E222" i="1" a="1"/>
  <c r="D135" i="1" a="1"/>
  <c r="E76" i="1" a="1"/>
  <c r="D257" i="1" a="1"/>
  <c r="D279" i="1" a="1"/>
  <c r="D48" i="1" a="1"/>
  <c r="E220" i="1" a="1"/>
  <c r="E186" i="1" a="1"/>
  <c r="D267" i="1" a="1"/>
  <c r="D168" i="1" a="1"/>
  <c r="E135" i="1" a="1"/>
  <c r="E199" i="1" a="1"/>
  <c r="E200" i="1" a="1"/>
  <c r="D191" i="1" a="1"/>
  <c r="D65" i="1" a="1"/>
  <c r="E176" i="1" a="1"/>
  <c r="E124" i="1" a="1"/>
  <c r="E262" i="1" a="1"/>
  <c r="E136" i="1" a="1"/>
  <c r="D117" i="1" a="1"/>
  <c r="E216" i="1" a="1"/>
  <c r="D175" i="1" a="1"/>
  <c r="E75" i="1" a="1"/>
  <c r="E218" i="1" l="1"/>
  <c r="E75" i="1"/>
  <c r="D254" i="1"/>
  <c r="D204" i="1"/>
  <c r="E85" i="1"/>
  <c r="E200" i="1"/>
  <c r="D148" i="1"/>
  <c r="E182" i="1"/>
  <c r="E175" i="1"/>
  <c r="D150" i="1"/>
  <c r="D137" i="1"/>
  <c r="D61" i="1"/>
  <c r="D78" i="1"/>
  <c r="E99" i="1"/>
  <c r="D179" i="1"/>
  <c r="E195" i="1"/>
  <c r="E71" i="1"/>
  <c r="O71" i="1" s="1"/>
  <c r="E55" i="1"/>
  <c r="D294" i="1"/>
  <c r="E239" i="1"/>
  <c r="E138" i="1"/>
  <c r="D186" i="1"/>
  <c r="D70" i="1"/>
  <c r="E244" i="1"/>
  <c r="D93" i="1"/>
  <c r="D100" i="1"/>
  <c r="D145" i="1"/>
  <c r="D193" i="1"/>
  <c r="E105" i="1"/>
  <c r="D200" i="1"/>
  <c r="D72" i="1"/>
  <c r="E104" i="1"/>
  <c r="E277" i="1"/>
  <c r="E137" i="1"/>
  <c r="E59" i="1"/>
  <c r="D62" i="1"/>
  <c r="D191" i="1"/>
  <c r="E216" i="1"/>
  <c r="E280" i="1"/>
  <c r="D157" i="1"/>
  <c r="D190" i="1"/>
  <c r="D295" i="1"/>
  <c r="E65" i="1"/>
  <c r="D37" i="1"/>
  <c r="D126" i="1"/>
  <c r="E159" i="1"/>
  <c r="E179" i="1"/>
  <c r="D280" i="1"/>
  <c r="D224" i="1"/>
  <c r="D155" i="1"/>
  <c r="E135" i="1"/>
  <c r="E264" i="1"/>
  <c r="E154" i="1"/>
  <c r="D129" i="1"/>
  <c r="D290" i="1"/>
  <c r="D229" i="1"/>
  <c r="D142" i="1"/>
  <c r="E129" i="1"/>
  <c r="D71" i="1"/>
  <c r="E250" i="1"/>
  <c r="D232" i="1"/>
  <c r="E158" i="1"/>
  <c r="O158" i="1" s="1"/>
  <c r="D167" i="1"/>
  <c r="E162" i="1"/>
  <c r="D202" i="1"/>
  <c r="E64" i="1"/>
  <c r="D245" i="1"/>
  <c r="D248" i="1"/>
  <c r="E72" i="1"/>
  <c r="E284" i="1"/>
  <c r="D279" i="1"/>
  <c r="E219" i="1"/>
  <c r="E273" i="1"/>
  <c r="E283" i="1"/>
  <c r="D101" i="1"/>
  <c r="E260" i="1"/>
  <c r="D275" i="1"/>
  <c r="E131" i="1"/>
  <c r="D75" i="1"/>
  <c r="D262" i="1"/>
  <c r="D177" i="1"/>
  <c r="D292" i="1"/>
  <c r="E247" i="1"/>
  <c r="D76" i="1"/>
  <c r="D218" i="1"/>
  <c r="D152" i="1"/>
  <c r="D60" i="1"/>
  <c r="E295" i="1"/>
  <c r="D197" i="1"/>
  <c r="D63" i="1"/>
  <c r="E48" i="1"/>
  <c r="E157" i="1"/>
  <c r="D288" i="1"/>
  <c r="E213" i="1"/>
  <c r="D243" i="1"/>
  <c r="D268" i="1"/>
  <c r="D119" i="1"/>
  <c r="E180" i="1"/>
  <c r="E164" i="1"/>
  <c r="E136" i="1"/>
  <c r="D81" i="1"/>
  <c r="D48" i="1"/>
  <c r="D250" i="1"/>
  <c r="D111" i="1"/>
  <c r="D215" i="1"/>
  <c r="D175" i="1"/>
  <c r="E191" i="1"/>
  <c r="D249" i="1"/>
  <c r="E256" i="1"/>
  <c r="E183" i="1"/>
  <c r="E285" i="1"/>
  <c r="E115" i="1"/>
  <c r="D223" i="1"/>
  <c r="E124" i="1"/>
  <c r="D45" i="1"/>
  <c r="D95" i="1"/>
  <c r="D222" i="1"/>
  <c r="E47" i="1"/>
  <c r="E272" i="1"/>
  <c r="O272" i="1" s="1"/>
  <c r="D286" i="1"/>
  <c r="D299" i="1"/>
  <c r="E111" i="1"/>
  <c r="D246" i="1"/>
  <c r="E106" i="1"/>
  <c r="D57" i="1"/>
  <c r="E196" i="1"/>
  <c r="O196" i="1" s="1"/>
  <c r="E56" i="1"/>
  <c r="E281" i="1"/>
  <c r="E94" i="1"/>
  <c r="O94" i="1" s="1"/>
  <c r="E133" i="1"/>
  <c r="D122" i="1"/>
  <c r="E267" i="1"/>
  <c r="D94" i="1"/>
  <c r="D231" i="1"/>
  <c r="D139" i="1"/>
  <c r="E298" i="1"/>
  <c r="E103" i="1"/>
  <c r="E46" i="1"/>
  <c r="O46" i="1" s="1"/>
  <c r="E202" i="1"/>
  <c r="O202" i="1" s="1"/>
  <c r="E181" i="1"/>
  <c r="E53" i="1"/>
  <c r="D256" i="1"/>
  <c r="E44" i="1"/>
  <c r="D133" i="1"/>
  <c r="D230" i="1"/>
  <c r="E190" i="1"/>
  <c r="E92" i="1"/>
  <c r="D84" i="1"/>
  <c r="E197" i="1"/>
  <c r="D266" i="1"/>
  <c r="E210" i="1"/>
  <c r="E259" i="1"/>
  <c r="D43" i="1"/>
  <c r="E185" i="1"/>
  <c r="D69" i="1"/>
  <c r="D291" i="1"/>
  <c r="D91" i="1"/>
  <c r="D143" i="1"/>
  <c r="E39" i="1"/>
  <c r="D120" i="1"/>
  <c r="D67" i="1"/>
  <c r="E112" i="1"/>
  <c r="D217" i="1"/>
  <c r="D77" i="1"/>
  <c r="E203" i="1"/>
  <c r="E231" i="1"/>
  <c r="E186" i="1"/>
  <c r="E68" i="1"/>
  <c r="E109" i="1"/>
  <c r="E205" i="1"/>
  <c r="E167" i="1"/>
  <c r="E98" i="1"/>
  <c r="E37" i="1"/>
  <c r="E293" i="1"/>
  <c r="E176" i="1"/>
  <c r="O176" i="1" s="1"/>
  <c r="D239" i="1"/>
  <c r="D53" i="1"/>
  <c r="E168" i="1"/>
  <c r="D58" i="1"/>
  <c r="D194" i="1"/>
  <c r="D276" i="1"/>
  <c r="E147" i="1"/>
  <c r="E45" i="1"/>
  <c r="D198" i="1"/>
  <c r="E100" i="1"/>
  <c r="D68" i="1"/>
  <c r="E50" i="1"/>
  <c r="O49" i="1" s="1"/>
  <c r="E125" i="1"/>
  <c r="D289" i="1"/>
  <c r="E77" i="1"/>
  <c r="D285" i="1"/>
  <c r="E234" i="1"/>
  <c r="E252" i="1"/>
  <c r="D208" i="1"/>
  <c r="E96" i="1"/>
  <c r="E286" i="1"/>
  <c r="D277" i="1"/>
  <c r="E67" i="1"/>
  <c r="E61" i="1"/>
  <c r="E149" i="1"/>
  <c r="D253" i="1"/>
  <c r="E165" i="1"/>
  <c r="D172" i="1"/>
  <c r="E146" i="1"/>
  <c r="O146" i="1" s="1"/>
  <c r="D203" i="1"/>
  <c r="E211" i="1"/>
  <c r="O211" i="1" s="1"/>
  <c r="E230" i="1"/>
  <c r="D238" i="1"/>
  <c r="E141" i="1"/>
  <c r="D255" i="1"/>
  <c r="D259" i="1"/>
  <c r="D83" i="1"/>
  <c r="D219" i="1"/>
  <c r="D50" i="1"/>
  <c r="D293" i="1"/>
  <c r="E160" i="1"/>
  <c r="E74" i="1"/>
  <c r="D199" i="1"/>
  <c r="D151" i="1"/>
  <c r="E93" i="1"/>
  <c r="O93" i="1" s="1"/>
  <c r="E224" i="1"/>
  <c r="E232" i="1"/>
  <c r="D106" i="1"/>
  <c r="D257" i="1"/>
  <c r="D51" i="1"/>
  <c r="E299" i="1"/>
  <c r="E140" i="1"/>
  <c r="D162" i="1"/>
  <c r="E204" i="1"/>
  <c r="E269" i="1"/>
  <c r="E172" i="1"/>
  <c r="E81" i="1"/>
  <c r="D173" i="1"/>
  <c r="D98" i="1"/>
  <c r="E151" i="1"/>
  <c r="E242" i="1"/>
  <c r="E134" i="1"/>
  <c r="E294" i="1"/>
  <c r="D287" i="1"/>
  <c r="E161" i="1"/>
  <c r="O161" i="1" s="1"/>
  <c r="D123" i="1"/>
  <c r="E114" i="1"/>
  <c r="D161" i="1"/>
  <c r="E145" i="1"/>
  <c r="D146" i="1"/>
  <c r="D281" i="1"/>
  <c r="D136" i="1"/>
  <c r="D59" i="1"/>
  <c r="D274" i="1"/>
  <c r="D178" i="1"/>
  <c r="D181" i="1"/>
  <c r="D271" i="1"/>
  <c r="E84" i="1"/>
  <c r="O84" i="1" s="1"/>
  <c r="E58" i="1"/>
  <c r="O58" i="1" s="1"/>
  <c r="E282" i="1"/>
  <c r="O282" i="1" s="1"/>
  <c r="D56" i="1"/>
  <c r="E113" i="1"/>
  <c r="D235" i="1"/>
  <c r="D240" i="1"/>
  <c r="E274" i="1"/>
  <c r="E87" i="1"/>
  <c r="E221" i="1"/>
  <c r="E220" i="1"/>
  <c r="D205" i="1"/>
  <c r="D65" i="1"/>
  <c r="D170" i="1"/>
  <c r="D201" i="1"/>
  <c r="D184" i="1"/>
  <c r="D264" i="1"/>
  <c r="D244" i="1"/>
  <c r="E248" i="1"/>
  <c r="O247" i="1" s="1"/>
  <c r="E57" i="1"/>
  <c r="E249" i="1"/>
  <c r="E128" i="1"/>
  <c r="E49" i="1"/>
  <c r="E155" i="1"/>
  <c r="D42" i="1"/>
  <c r="D188" i="1"/>
  <c r="D144" i="1"/>
  <c r="E52" i="1"/>
  <c r="E212" i="1"/>
  <c r="D156" i="1"/>
  <c r="E73" i="1"/>
  <c r="O73" i="1" s="1"/>
  <c r="E120" i="1"/>
  <c r="E41" i="1"/>
  <c r="E291" i="1"/>
  <c r="O291" i="1" s="1"/>
  <c r="D296" i="1"/>
  <c r="E60" i="1"/>
  <c r="D228" i="1"/>
  <c r="E116" i="1"/>
  <c r="E254" i="1"/>
  <c r="D258" i="1"/>
  <c r="E95" i="1"/>
  <c r="D89" i="1"/>
  <c r="E150" i="1"/>
  <c r="E132" i="1"/>
  <c r="D247" i="1"/>
  <c r="E110" i="1"/>
  <c r="O110" i="1" s="1"/>
  <c r="D284" i="1"/>
  <c r="E192" i="1"/>
  <c r="E255" i="1"/>
  <c r="O254" i="1" s="1"/>
  <c r="E189" i="1"/>
  <c r="O188" i="1" s="1"/>
  <c r="E214" i="1"/>
  <c r="E80" i="1"/>
  <c r="O79" i="1" s="1"/>
  <c r="D260" i="1"/>
  <c r="E288" i="1"/>
  <c r="D159" i="1"/>
  <c r="D225" i="1"/>
  <c r="E169" i="1"/>
  <c r="E144" i="1"/>
  <c r="D73" i="1"/>
  <c r="D210" i="1"/>
  <c r="E152" i="1"/>
  <c r="E236" i="1"/>
  <c r="E217" i="1"/>
  <c r="O217" i="1" s="1"/>
  <c r="E257" i="1"/>
  <c r="D226" i="1"/>
  <c r="E170" i="1"/>
  <c r="O169" i="1" s="1"/>
  <c r="D154" i="1"/>
  <c r="E121" i="1"/>
  <c r="E171" i="1"/>
  <c r="E122" i="1"/>
  <c r="E79" i="1"/>
  <c r="D115" i="1"/>
  <c r="D85" i="1"/>
  <c r="D130" i="1"/>
  <c r="E223" i="1"/>
  <c r="D242" i="1"/>
  <c r="E207" i="1"/>
  <c r="D227" i="1"/>
  <c r="D88" i="1"/>
  <c r="E51" i="1"/>
  <c r="D97" i="1"/>
  <c r="D174" i="1"/>
  <c r="D39" i="1"/>
  <c r="D283" i="1"/>
  <c r="D116" i="1"/>
  <c r="E163" i="1"/>
  <c r="D125" i="1"/>
  <c r="D298" i="1"/>
  <c r="E261" i="1"/>
  <c r="D180" i="1"/>
  <c r="D212" i="1"/>
  <c r="E187" i="1"/>
  <c r="E97" i="1"/>
  <c r="D92" i="1"/>
  <c r="E296" i="1"/>
  <c r="D236" i="1"/>
  <c r="D196" i="1"/>
  <c r="E76" i="1"/>
  <c r="O75" i="1" s="1"/>
  <c r="D297" i="1"/>
  <c r="D108" i="1"/>
  <c r="D110" i="1"/>
  <c r="E268" i="1"/>
  <c r="E228" i="1"/>
  <c r="D216" i="1"/>
  <c r="E251" i="1"/>
  <c r="D182" i="1"/>
  <c r="D158" i="1"/>
  <c r="D80" i="1"/>
  <c r="E263" i="1"/>
  <c r="O263" i="1" s="1"/>
  <c r="D141" i="1"/>
  <c r="D40" i="1"/>
  <c r="D273" i="1"/>
  <c r="E240" i="1"/>
  <c r="O240" i="1" s="1"/>
  <c r="D86" i="1"/>
  <c r="E279" i="1"/>
  <c r="O279" i="1" s="1"/>
  <c r="E101" i="1"/>
  <c r="O101" i="1" s="1"/>
  <c r="D118" i="1"/>
  <c r="E82" i="1"/>
  <c r="E69" i="1"/>
  <c r="D134" i="1"/>
  <c r="D44" i="1"/>
  <c r="D149" i="1"/>
  <c r="E118" i="1"/>
  <c r="D147" i="1"/>
  <c r="D99" i="1"/>
  <c r="E270" i="1"/>
  <c r="E289" i="1"/>
  <c r="D251" i="1"/>
  <c r="E83" i="1"/>
  <c r="O83" i="1" s="1"/>
  <c r="D169" i="1"/>
  <c r="E119" i="1"/>
  <c r="E70" i="1"/>
  <c r="O70" i="1" s="1"/>
  <c r="E107" i="1"/>
  <c r="E177" i="1"/>
  <c r="D241" i="1"/>
  <c r="E194" i="1"/>
  <c r="E246" i="1"/>
  <c r="E206" i="1"/>
  <c r="D117" i="1"/>
  <c r="E226" i="1"/>
  <c r="E215" i="1"/>
  <c r="O215" i="1" s="1"/>
  <c r="E40" i="1"/>
  <c r="E166" i="1"/>
  <c r="D104" i="1"/>
  <c r="E142" i="1"/>
  <c r="O142" i="1" s="1"/>
  <c r="D171" i="1"/>
  <c r="D54" i="1"/>
  <c r="D38" i="1"/>
  <c r="E243" i="1"/>
  <c r="O243" i="1" s="1"/>
  <c r="D221" i="1"/>
  <c r="D211" i="1"/>
  <c r="D102" i="1"/>
  <c r="D41" i="1"/>
  <c r="D52" i="1"/>
  <c r="E174" i="1"/>
  <c r="D214" i="1"/>
  <c r="D272" i="1"/>
  <c r="E108" i="1"/>
  <c r="O108" i="1" s="1"/>
  <c r="E201" i="1"/>
  <c r="O200" i="1" s="1"/>
  <c r="E173" i="1"/>
  <c r="O172" i="1" s="1"/>
  <c r="D166" i="1"/>
  <c r="D237" i="1"/>
  <c r="E275" i="1"/>
  <c r="E54" i="1"/>
  <c r="O54" i="1" s="1"/>
  <c r="D74" i="1"/>
  <c r="E153" i="1"/>
  <c r="O153" i="1" s="1"/>
  <c r="D55" i="1"/>
  <c r="D207" i="1"/>
  <c r="D79" i="1"/>
  <c r="D234" i="1"/>
  <c r="E90" i="1"/>
  <c r="D265" i="1"/>
  <c r="E278" i="1"/>
  <c r="O277" i="1" s="1"/>
  <c r="E193" i="1"/>
  <c r="O193" i="1" s="1"/>
  <c r="E117" i="1"/>
  <c r="D187" i="1"/>
  <c r="D183" i="1"/>
  <c r="E139" i="1"/>
  <c r="O139" i="1" s="1"/>
  <c r="E123" i="1"/>
  <c r="O123" i="1" s="1"/>
  <c r="E222" i="1"/>
  <c r="O221" i="1" s="1"/>
  <c r="E78" i="1"/>
  <c r="D164" i="1"/>
  <c r="D112" i="1"/>
  <c r="D64" i="1"/>
  <c r="D46" i="1"/>
  <c r="E300" i="1"/>
  <c r="O300" i="1" s="1"/>
  <c r="E156" i="1"/>
  <c r="D127" i="1"/>
  <c r="E178" i="1"/>
  <c r="D189" i="1"/>
  <c r="D114" i="1"/>
  <c r="D282" i="1"/>
  <c r="D90" i="1"/>
  <c r="D124" i="1"/>
  <c r="E62" i="1"/>
  <c r="D105" i="1"/>
  <c r="D252" i="1"/>
  <c r="D132" i="1"/>
  <c r="D163" i="1"/>
  <c r="E66" i="1"/>
  <c r="O66" i="1" s="1"/>
  <c r="D300" i="1"/>
  <c r="E89" i="1"/>
  <c r="E253" i="1"/>
  <c r="E91" i="1"/>
  <c r="D195" i="1"/>
  <c r="E209" i="1"/>
  <c r="O209" i="1" s="1"/>
  <c r="D168" i="1"/>
  <c r="D263" i="1"/>
  <c r="E199" i="1"/>
  <c r="O199" i="1" s="1"/>
  <c r="D213" i="1"/>
  <c r="E233" i="1"/>
  <c r="O233" i="1" s="1"/>
  <c r="D165" i="1"/>
  <c r="D128" i="1"/>
  <c r="D82" i="1"/>
  <c r="E198" i="1"/>
  <c r="E229" i="1"/>
  <c r="E258" i="1"/>
  <c r="D121" i="1"/>
  <c r="E297" i="1"/>
  <c r="E262" i="1"/>
  <c r="E208" i="1"/>
  <c r="E143" i="1"/>
  <c r="O143" i="1" s="1"/>
  <c r="D109" i="1"/>
  <c r="E126" i="1"/>
  <c r="O126" i="1" s="1"/>
  <c r="D47" i="1"/>
  <c r="E266" i="1"/>
  <c r="O266" i="1" s="1"/>
  <c r="D140" i="1"/>
  <c r="D267" i="1"/>
  <c r="D176" i="1"/>
  <c r="E188" i="1"/>
  <c r="D135" i="1"/>
  <c r="D192" i="1"/>
  <c r="E287" i="1"/>
  <c r="E235" i="1"/>
  <c r="E88" i="1"/>
  <c r="E241" i="1"/>
  <c r="E42" i="1"/>
  <c r="O42" i="1" s="1"/>
  <c r="E227" i="1"/>
  <c r="D160" i="1"/>
  <c r="E148" i="1"/>
  <c r="O147" i="1" s="1"/>
  <c r="D233" i="1"/>
  <c r="E237" i="1"/>
  <c r="O237" i="1" s="1"/>
  <c r="E271" i="1"/>
  <c r="O271" i="1" s="1"/>
  <c r="D261" i="1"/>
  <c r="D153" i="1"/>
  <c r="E43" i="1"/>
  <c r="E292" i="1"/>
  <c r="E238" i="1"/>
  <c r="O238" i="1" s="1"/>
  <c r="E276" i="1"/>
  <c r="D103" i="1"/>
  <c r="E290" i="1"/>
  <c r="D87" i="1"/>
  <c r="D206" i="1"/>
  <c r="D96" i="1"/>
  <c r="D107" i="1"/>
  <c r="D113" i="1"/>
  <c r="E86" i="1"/>
  <c r="O85" i="1" s="1"/>
  <c r="E184" i="1"/>
  <c r="O184" i="1" s="1"/>
  <c r="D66" i="1"/>
  <c r="D138" i="1"/>
  <c r="E130" i="1"/>
  <c r="E102" i="1"/>
  <c r="D269" i="1"/>
  <c r="D220" i="1"/>
  <c r="D185" i="1"/>
  <c r="E38" i="1"/>
  <c r="D270" i="1"/>
  <c r="E127" i="1"/>
  <c r="O127" i="1" s="1"/>
  <c r="E265" i="1"/>
  <c r="E225" i="1"/>
  <c r="O225" i="1" s="1"/>
  <c r="D49" i="1"/>
  <c r="E245" i="1"/>
  <c r="D209" i="1"/>
  <c r="E63" i="1"/>
  <c r="O63" i="1" s="1"/>
  <c r="D278" i="1"/>
  <c r="D131" i="1"/>
  <c r="C9" i="7"/>
  <c r="B10" i="7"/>
  <c r="O135" i="1"/>
  <c r="O163" i="1"/>
  <c r="O137" i="1"/>
  <c r="O136" i="1"/>
  <c r="O186" i="1"/>
  <c r="O218" i="1"/>
  <c r="O273" i="1"/>
  <c r="O47" i="1"/>
  <c r="M35" i="1"/>
  <c r="L35" i="1"/>
  <c r="J35" i="1"/>
  <c r="M34" i="1"/>
  <c r="L34" i="1"/>
  <c r="J34" i="1"/>
  <c r="L33" i="1"/>
  <c r="M33" i="1" s="1"/>
  <c r="J33" i="1"/>
  <c r="M32" i="1"/>
  <c r="L32" i="1"/>
  <c r="J32" i="1"/>
  <c r="L31" i="1"/>
  <c r="M31" i="1" s="1"/>
  <c r="N31" i="1" s="1"/>
  <c r="J31" i="1"/>
  <c r="L30" i="1"/>
  <c r="M30" i="1" s="1"/>
  <c r="N30" i="1" s="1"/>
  <c r="J30" i="1"/>
  <c r="M29" i="1"/>
  <c r="N29" i="1" s="1"/>
  <c r="L29" i="1"/>
  <c r="J29" i="1"/>
  <c r="L28" i="1"/>
  <c r="M28" i="1" s="1"/>
  <c r="N28" i="1" s="1"/>
  <c r="J28" i="1"/>
  <c r="L27" i="1"/>
  <c r="M27" i="1" s="1"/>
  <c r="N27" i="1" s="1"/>
  <c r="J27" i="1"/>
  <c r="L26" i="1"/>
  <c r="M26" i="1" s="1"/>
  <c r="J26" i="1"/>
  <c r="L25" i="1"/>
  <c r="M25" i="1" s="1"/>
  <c r="J25" i="1"/>
  <c r="L24" i="1"/>
  <c r="J24" i="1"/>
  <c r="M24" i="1" s="1"/>
  <c r="L23" i="1"/>
  <c r="J23" i="1"/>
  <c r="M23" i="1" s="1"/>
  <c r="L22" i="1"/>
  <c r="J22" i="1"/>
  <c r="M22" i="1" s="1"/>
  <c r="M21" i="1"/>
  <c r="L21" i="1"/>
  <c r="J21" i="1"/>
  <c r="L20" i="1"/>
  <c r="M20" i="1" s="1"/>
  <c r="N20" i="1" s="1"/>
  <c r="J20" i="1"/>
  <c r="L19" i="1"/>
  <c r="M19" i="1" s="1"/>
  <c r="J19" i="1"/>
  <c r="M18" i="1"/>
  <c r="L18" i="1"/>
  <c r="J18" i="1"/>
  <c r="L17" i="1"/>
  <c r="M17" i="1" s="1"/>
  <c r="J17" i="1"/>
  <c r="M16" i="1"/>
  <c r="L16" i="1"/>
  <c r="J16" i="1"/>
  <c r="M15" i="1"/>
  <c r="L15" i="1"/>
  <c r="J15" i="1"/>
  <c r="L14" i="1"/>
  <c r="M14" i="1" s="1"/>
  <c r="J14" i="1"/>
  <c r="L13" i="1"/>
  <c r="M13" i="1" s="1"/>
  <c r="N13" i="1" s="1"/>
  <c r="J13" i="1"/>
  <c r="L12" i="1"/>
  <c r="J12" i="1"/>
  <c r="M12" i="1" s="1"/>
  <c r="N12" i="1" s="1"/>
  <c r="M11" i="1"/>
  <c r="L11" i="1"/>
  <c r="J11" i="1"/>
  <c r="L10" i="1"/>
  <c r="M10" i="1" s="1"/>
  <c r="J10" i="1"/>
  <c r="M9" i="1"/>
  <c r="L9" i="1"/>
  <c r="J9" i="1"/>
  <c r="L8" i="1"/>
  <c r="M8" i="1" s="1"/>
  <c r="J8" i="1"/>
  <c r="O204" i="1" l="1"/>
  <c r="O91" i="1"/>
  <c r="O246" i="1"/>
  <c r="O95" i="1"/>
  <c r="O60" i="1"/>
  <c r="O44" i="1"/>
  <c r="O185" i="1"/>
  <c r="N35" i="1"/>
  <c r="O197" i="1"/>
  <c r="O100" i="1"/>
  <c r="O251" i="1"/>
  <c r="O144" i="1"/>
  <c r="O69" i="1"/>
  <c r="O140" i="1"/>
  <c r="O78" i="1"/>
  <c r="O97" i="1"/>
  <c r="O260" i="1"/>
  <c r="O190" i="1"/>
  <c r="O48" i="1"/>
  <c r="O53" i="1"/>
  <c r="O205" i="1"/>
  <c r="O154" i="1"/>
  <c r="O65" i="1"/>
  <c r="O98" i="1"/>
  <c r="O157" i="1"/>
  <c r="O252" i="1"/>
  <c r="O220" i="1"/>
  <c r="O112" i="1"/>
  <c r="O229" i="1"/>
  <c r="O166" i="1"/>
  <c r="O50" i="1"/>
  <c r="O168" i="1"/>
  <c r="O104" i="1"/>
  <c r="O40" i="1"/>
  <c r="O88" i="1"/>
  <c r="O219" i="1"/>
  <c r="O267" i="1"/>
  <c r="O180" i="1"/>
  <c r="O133" i="1"/>
  <c r="O241" i="1"/>
  <c r="O124" i="1"/>
  <c r="O89" i="1"/>
  <c r="O132" i="1"/>
  <c r="O149" i="1"/>
  <c r="O68" i="1"/>
  <c r="O287" i="1"/>
  <c r="O74" i="1"/>
  <c r="O222" i="1"/>
  <c r="O167" i="1"/>
  <c r="O111" i="1"/>
  <c r="O298" i="1"/>
  <c r="O181" i="1"/>
  <c r="O55" i="1"/>
  <c r="O284" i="1"/>
  <c r="O182" i="1"/>
  <c r="O192" i="1"/>
  <c r="O120" i="1"/>
  <c r="O208" i="1"/>
  <c r="O162" i="1"/>
  <c r="O39" i="1"/>
  <c r="O179" i="1"/>
  <c r="O152" i="1"/>
  <c r="O261" i="1"/>
  <c r="O268" i="1"/>
  <c r="O119" i="1"/>
  <c r="O234" i="1"/>
  <c r="O194" i="1"/>
  <c r="O262" i="1"/>
  <c r="O212" i="1"/>
  <c r="O102" i="1"/>
  <c r="O253" i="1"/>
  <c r="O269" i="1"/>
  <c r="O62" i="1"/>
  <c r="O57" i="1"/>
  <c r="O281" i="1"/>
  <c r="O232" i="1"/>
  <c r="O293" i="1"/>
  <c r="O213" i="1"/>
  <c r="O131" i="1"/>
  <c r="O99" i="1"/>
  <c r="O224" i="1"/>
  <c r="O256" i="1"/>
  <c r="O105" i="1"/>
  <c r="O250" i="1"/>
  <c r="O141" i="1"/>
  <c r="O270" i="1"/>
  <c r="O151" i="1"/>
  <c r="O64" i="1"/>
  <c r="O178" i="1"/>
  <c r="O236" i="1"/>
  <c r="O165" i="1"/>
  <c r="O45" i="1"/>
  <c r="O283" i="1"/>
  <c r="O226" i="1"/>
  <c r="O207" i="1"/>
  <c r="O109" i="1"/>
  <c r="O175" i="1"/>
  <c r="O244" i="1"/>
  <c r="O248" i="1"/>
  <c r="O223" i="1"/>
  <c r="O150" i="1"/>
  <c r="O280" i="1"/>
  <c r="O265" i="1"/>
  <c r="O216" i="1"/>
  <c r="O177" i="1"/>
  <c r="O201" i="1"/>
  <c r="O274" i="1"/>
  <c r="O191" i="1"/>
  <c r="O134" i="1"/>
  <c r="O264" i="1"/>
  <c r="O255" i="1"/>
  <c r="O206" i="1"/>
  <c r="O61" i="1"/>
  <c r="O103" i="1"/>
  <c r="O125" i="1"/>
  <c r="O170" i="1"/>
  <c r="O230" i="1"/>
  <c r="O41" i="1"/>
  <c r="O214" i="1"/>
  <c r="O239" i="1"/>
  <c r="O210" i="1"/>
  <c r="O290" i="1"/>
  <c r="O195" i="1"/>
  <c r="O183" i="1"/>
  <c r="O37" i="1"/>
  <c r="O257" i="1"/>
  <c r="O145" i="1"/>
  <c r="O96" i="1"/>
  <c r="O72" i="1"/>
  <c r="O278" i="1"/>
  <c r="O231" i="1"/>
  <c r="O86" i="1"/>
  <c r="O296" i="1"/>
  <c r="O156" i="1"/>
  <c r="O173" i="1"/>
  <c r="O43" i="1"/>
  <c r="O227" i="1"/>
  <c r="O285" i="1"/>
  <c r="O118" i="1"/>
  <c r="O52" i="1"/>
  <c r="O80" i="1"/>
  <c r="O159" i="1"/>
  <c r="O122" i="1"/>
  <c r="O164" i="1"/>
  <c r="O160" i="1"/>
  <c r="O292" i="1"/>
  <c r="O249" i="1"/>
  <c r="O56" i="1"/>
  <c r="O92" i="1"/>
  <c r="O294" i="1"/>
  <c r="O235" i="1"/>
  <c r="O138" i="1"/>
  <c r="O242" i="1"/>
  <c r="O107" i="1"/>
  <c r="O121" i="1"/>
  <c r="O288" i="1"/>
  <c r="O116" i="1"/>
  <c r="O128" i="1"/>
  <c r="O114" i="1"/>
  <c r="O299" i="1"/>
  <c r="O59" i="1"/>
  <c r="O259" i="1"/>
  <c r="O189" i="1"/>
  <c r="O130" i="1"/>
  <c r="O275" i="1"/>
  <c r="O129" i="1"/>
  <c r="O171" i="1"/>
  <c r="O87" i="1"/>
  <c r="O289" i="1"/>
  <c r="O174" i="1"/>
  <c r="O245" i="1"/>
  <c r="O276" i="1"/>
  <c r="O286" i="1"/>
  <c r="O198" i="1"/>
  <c r="O81" i="1"/>
  <c r="O90" i="1"/>
  <c r="O76" i="1"/>
  <c r="O148" i="1"/>
  <c r="O228" i="1"/>
  <c r="O113" i="1"/>
  <c r="O51" i="1"/>
  <c r="O67" i="1"/>
  <c r="O295" i="1"/>
  <c r="O258" i="1"/>
  <c r="O117" i="1"/>
  <c r="O106" i="1"/>
  <c r="O38" i="1"/>
  <c r="O187" i="1"/>
  <c r="O297" i="1"/>
  <c r="O203" i="1"/>
  <c r="O155" i="1"/>
  <c r="O77" i="1"/>
  <c r="O115" i="1"/>
  <c r="O82" i="1"/>
  <c r="C10" i="7"/>
  <c r="N17" i="1"/>
  <c r="N18" i="1"/>
  <c r="N9" i="1"/>
  <c r="N22" i="1"/>
  <c r="N25" i="1"/>
  <c r="N19" i="1"/>
  <c r="N23" i="1"/>
  <c r="N33" i="1"/>
  <c r="N8" i="1"/>
  <c r="N24" i="1"/>
  <c r="N15" i="1"/>
  <c r="N11" i="1"/>
  <c r="N26" i="1"/>
  <c r="N21" i="1"/>
  <c r="N34" i="1"/>
  <c r="N16" i="1"/>
  <c r="N10" i="1"/>
  <c r="N32" i="1"/>
  <c r="N14" i="1"/>
  <c r="C30" i="2"/>
  <c r="B30" i="2"/>
  <c r="C29" i="2"/>
  <c r="B29" i="2"/>
  <c r="C28" i="2"/>
  <c r="B28" i="2"/>
  <c r="B27" i="2"/>
  <c r="C26" i="2"/>
  <c r="B26" i="2"/>
  <c r="C25" i="2"/>
  <c r="B25" i="2"/>
  <c r="B24" i="2"/>
  <c r="C23" i="2"/>
  <c r="B23" i="2"/>
  <c r="C22" i="2"/>
  <c r="B22" i="2"/>
  <c r="C21" i="2"/>
  <c r="B21" i="2"/>
  <c r="C20" i="2"/>
  <c r="B20" i="2"/>
  <c r="B19" i="2"/>
  <c r="C18" i="2"/>
  <c r="B18" i="2"/>
  <c r="C17" i="2"/>
  <c r="B17" i="2"/>
  <c r="B16" i="2"/>
  <c r="B12" i="2"/>
  <c r="C10" i="2"/>
  <c r="B10" i="2"/>
  <c r="B9" i="2"/>
  <c r="C8" i="2"/>
  <c r="B8" i="2"/>
  <c r="C7" i="2"/>
  <c r="B7" i="2"/>
  <c r="B6" i="2"/>
  <c r="C5" i="2"/>
  <c r="B5" i="2"/>
  <c r="C4" i="2"/>
  <c r="B4" i="2"/>
  <c r="B3" i="2"/>
  <c r="C2" i="2"/>
  <c r="B2" i="2"/>
  <c r="J2" i="1"/>
  <c r="J3" i="1"/>
  <c r="E10" i="7" l="1" a="1"/>
  <c r="E10" i="7" s="1"/>
  <c r="I33" i="7"/>
  <c r="I34" i="7"/>
  <c r="I21" i="7"/>
  <c r="I36" i="7"/>
  <c r="I29" i="7"/>
  <c r="I20" i="7"/>
  <c r="I28" i="7"/>
  <c r="I24" i="7"/>
  <c r="I16" i="7"/>
  <c r="I25" i="7"/>
  <c r="I15" i="7"/>
  <c r="I27" i="7"/>
  <c r="I32" i="7"/>
  <c r="I22" i="7"/>
  <c r="I39" i="7"/>
  <c r="I31" i="7"/>
  <c r="I14" i="7"/>
  <c r="I19" i="7"/>
  <c r="I30" i="7"/>
  <c r="I17" i="7"/>
  <c r="I26" i="7"/>
  <c r="I37" i="7"/>
  <c r="I18" i="7"/>
  <c r="I38" i="7"/>
  <c r="I23" i="7"/>
  <c r="I35" i="7"/>
  <c r="H33" i="7" a="1"/>
  <c r="H33" i="7" s="1"/>
  <c r="J6" i="7" a="1"/>
  <c r="J6" i="7" s="1"/>
  <c r="K6" i="7" a="1"/>
  <c r="K6" i="7" s="1"/>
  <c r="H35" i="7" a="1"/>
  <c r="H35" i="7" s="1"/>
  <c r="H34" i="7" a="1"/>
  <c r="H34" i="7" s="1"/>
  <c r="H21" i="7" a="1"/>
  <c r="H21" i="7" s="1"/>
  <c r="H36" i="7" a="1"/>
  <c r="H36" i="7" s="1"/>
  <c r="H29" i="7" a="1"/>
  <c r="H29" i="7" s="1"/>
  <c r="H15" i="7" a="1"/>
  <c r="H15" i="7" s="1"/>
  <c r="H20" i="7" a="1"/>
  <c r="H20" i="7" s="1"/>
  <c r="H14" i="7" a="1"/>
  <c r="H14" i="7" s="1"/>
  <c r="H16" i="7" a="1"/>
  <c r="H16" i="7" s="1"/>
  <c r="H25" i="7" a="1"/>
  <c r="H25" i="7" s="1"/>
  <c r="H19" i="7" a="1"/>
  <c r="H19" i="7" s="1"/>
  <c r="H39" i="7" a="1"/>
  <c r="H39" i="7" s="1"/>
  <c r="H31" i="7" a="1"/>
  <c r="H31" i="7" s="1"/>
  <c r="J7" i="7" a="1"/>
  <c r="J7" i="7" s="1"/>
  <c r="H30" i="7" a="1"/>
  <c r="H30" i="7" s="1"/>
  <c r="H17" i="7" a="1"/>
  <c r="H17" i="7" s="1"/>
  <c r="H22" i="7" a="1"/>
  <c r="H22" i="7" s="1"/>
  <c r="H26" i="7" a="1"/>
  <c r="H26" i="7" s="1"/>
  <c r="H24" i="7" a="1"/>
  <c r="H24" i="7" s="1"/>
  <c r="H27" i="7" a="1"/>
  <c r="H27" i="7" s="1"/>
  <c r="H32" i="7" a="1"/>
  <c r="H32" i="7" s="1"/>
  <c r="H28" i="7" a="1"/>
  <c r="H28" i="7" s="1"/>
  <c r="H37" i="7" a="1"/>
  <c r="H37" i="7" s="1"/>
  <c r="H18" i="7" a="1"/>
  <c r="H18" i="7" s="1"/>
  <c r="H38" i="7" a="1"/>
  <c r="H38" i="7" s="1"/>
  <c r="H23" i="7" a="1"/>
  <c r="H23" i="7" s="1"/>
  <c r="K7" i="7" a="1"/>
  <c r="K7" i="7" s="1"/>
  <c r="K8" i="7" a="1"/>
  <c r="K8" i="7" s="1"/>
  <c r="J8" i="7" a="1"/>
  <c r="J8" i="7" s="1"/>
  <c r="K9" i="7" a="1"/>
  <c r="K9" i="7" s="1"/>
  <c r="J9" i="7" a="1"/>
  <c r="J9" i="7" s="1"/>
  <c r="C33" i="7" a="1"/>
  <c r="C33" i="7" s="1"/>
  <c r="D33" i="7" a="1"/>
  <c r="D33" i="7" s="1"/>
  <c r="F33" i="7" a="1"/>
  <c r="F33" i="7" s="1"/>
  <c r="G33" i="7" a="1"/>
  <c r="G33" i="7" s="1"/>
  <c r="E6" i="7" a="1"/>
  <c r="E6" i="7" s="1"/>
  <c r="F28" i="7" a="1"/>
  <c r="F28" i="7" s="1"/>
  <c r="D27" i="7" a="1"/>
  <c r="D27" i="7" s="1"/>
  <c r="G18" i="7" a="1"/>
  <c r="G18" i="7" s="1"/>
  <c r="F15" i="7" a="1"/>
  <c r="F15" i="7" s="1"/>
  <c r="D32" i="7" a="1"/>
  <c r="D32" i="7" s="1"/>
  <c r="G38" i="7" a="1"/>
  <c r="G38" i="7" s="1"/>
  <c r="D15" i="7" a="1"/>
  <c r="D15" i="7" s="1"/>
  <c r="G23" i="7" a="1"/>
  <c r="G23" i="7" s="1"/>
  <c r="G35" i="7" a="1"/>
  <c r="G35" i="7" s="1"/>
  <c r="D28" i="7" a="1"/>
  <c r="D28" i="7" s="1"/>
  <c r="C32" i="7" a="1"/>
  <c r="C32" i="7" s="1"/>
  <c r="G34" i="7" a="1"/>
  <c r="G34" i="7" s="1"/>
  <c r="C28" i="7" a="1"/>
  <c r="C28" i="7" s="1"/>
  <c r="G21" i="7" a="1"/>
  <c r="G21" i="7" s="1"/>
  <c r="C18" i="7" a="1"/>
  <c r="C18" i="7" s="1"/>
  <c r="C15" i="7" a="1"/>
  <c r="C15" i="7" s="1"/>
  <c r="D38" i="7" a="1"/>
  <c r="D38" i="7" s="1"/>
  <c r="F23" i="7" a="1"/>
  <c r="F23" i="7" s="1"/>
  <c r="C23" i="7" a="1"/>
  <c r="C23" i="7" s="1"/>
  <c r="D30" i="7" a="1"/>
  <c r="D30" i="7" s="1"/>
  <c r="H6" i="7" a="1"/>
  <c r="H6" i="7" s="1"/>
  <c r="F34" i="7" a="1"/>
  <c r="F34" i="7" s="1"/>
  <c r="F21" i="7" a="1"/>
  <c r="F21" i="7" s="1"/>
  <c r="D18" i="7" a="1"/>
  <c r="D18" i="7" s="1"/>
  <c r="C38" i="7" a="1"/>
  <c r="C38" i="7" s="1"/>
  <c r="D23" i="7" a="1"/>
  <c r="D23" i="7" s="1"/>
  <c r="C30" i="7" a="1"/>
  <c r="C30" i="7" s="1"/>
  <c r="D34" i="7" a="1"/>
  <c r="D34" i="7" s="1"/>
  <c r="G36" i="7" a="1"/>
  <c r="G36" i="7" s="1"/>
  <c r="D21" i="7" a="1"/>
  <c r="D21" i="7" s="1"/>
  <c r="G29" i="7" a="1"/>
  <c r="G29" i="7" s="1"/>
  <c r="C20" i="7" a="1"/>
  <c r="C20" i="7" s="1"/>
  <c r="C17" i="7" a="1"/>
  <c r="C17" i="7" s="1"/>
  <c r="C34" i="7" a="1"/>
  <c r="C34" i="7" s="1"/>
  <c r="F36" i="7" a="1"/>
  <c r="F36" i="7" s="1"/>
  <c r="C21" i="7" a="1"/>
  <c r="C21" i="7" s="1"/>
  <c r="F29" i="7" a="1"/>
  <c r="F29" i="7" s="1"/>
  <c r="G15" i="7" a="1"/>
  <c r="G15" i="7" s="1"/>
  <c r="G20" i="7" a="1"/>
  <c r="G20" i="7" s="1"/>
  <c r="D7" i="7" a="1"/>
  <c r="D7" i="7" s="1"/>
  <c r="C31" i="7" a="1"/>
  <c r="C31" i="7" s="1"/>
  <c r="D36" i="7" a="1"/>
  <c r="D36" i="7" s="1"/>
  <c r="C16" i="7" a="1"/>
  <c r="C16" i="7" s="1"/>
  <c r="D29" i="7" a="1"/>
  <c r="D29" i="7" s="1"/>
  <c r="G25" i="7" a="1"/>
  <c r="G25" i="7" s="1"/>
  <c r="F20" i="7" a="1"/>
  <c r="F20" i="7" s="1"/>
  <c r="H7" i="7" a="1"/>
  <c r="H7" i="7" s="1"/>
  <c r="D22" i="7" a="1"/>
  <c r="D22" i="7" s="1"/>
  <c r="C22" i="7" a="1"/>
  <c r="C22" i="7" s="1"/>
  <c r="G22" i="7" a="1"/>
  <c r="G22" i="7" s="1"/>
  <c r="C36" i="7" a="1"/>
  <c r="C36" i="7" s="1"/>
  <c r="G16" i="7" a="1"/>
  <c r="G16" i="7" s="1"/>
  <c r="G19" i="7" a="1"/>
  <c r="G19" i="7" s="1"/>
  <c r="C29" i="7" a="1"/>
  <c r="C29" i="7" s="1"/>
  <c r="F25" i="7" a="1"/>
  <c r="F25" i="7" s="1"/>
  <c r="D20" i="7" a="1"/>
  <c r="D20" i="7" s="1"/>
  <c r="F35" i="7" a="1"/>
  <c r="F35" i="7" s="1"/>
  <c r="G39" i="7" a="1"/>
  <c r="G39" i="7" s="1"/>
  <c r="D24" i="7" a="1"/>
  <c r="D24" i="7" s="1"/>
  <c r="F16" i="7" a="1"/>
  <c r="F16" i="7" s="1"/>
  <c r="F19" i="7" a="1"/>
  <c r="F19" i="7" s="1"/>
  <c r="D25" i="7" a="1"/>
  <c r="D25" i="7" s="1"/>
  <c r="G31" i="7" a="1"/>
  <c r="G31" i="7" s="1"/>
  <c r="E7" i="7" a="1"/>
  <c r="E7" i="7" s="1"/>
  <c r="F39" i="7" a="1"/>
  <c r="F39" i="7" s="1"/>
  <c r="C24" i="7" a="1"/>
  <c r="C24" i="7" s="1"/>
  <c r="D16" i="7" a="1"/>
  <c r="D16" i="7" s="1"/>
  <c r="D19" i="7" a="1"/>
  <c r="D19" i="7" s="1"/>
  <c r="G30" i="7" a="1"/>
  <c r="G30" i="7" s="1"/>
  <c r="C25" i="7" a="1"/>
  <c r="C25" i="7" s="1"/>
  <c r="F31" i="7" a="1"/>
  <c r="F31" i="7" s="1"/>
  <c r="G17" i="7" a="1"/>
  <c r="G17" i="7" s="1"/>
  <c r="F26" i="7" a="1"/>
  <c r="F26" i="7" s="1"/>
  <c r="D17" i="7" a="1"/>
  <c r="D17" i="7" s="1"/>
  <c r="D39" i="7" a="1"/>
  <c r="D39" i="7" s="1"/>
  <c r="G37" i="7" a="1"/>
  <c r="G37" i="7" s="1"/>
  <c r="C19" i="7" a="1"/>
  <c r="C19" i="7" s="1"/>
  <c r="F30" i="7" a="1"/>
  <c r="F30" i="7" s="1"/>
  <c r="D31" i="7" a="1"/>
  <c r="D31" i="7" s="1"/>
  <c r="F17" i="7" a="1"/>
  <c r="F17" i="7" s="1"/>
  <c r="D26" i="7" a="1"/>
  <c r="D26" i="7" s="1"/>
  <c r="F22" i="7" a="1"/>
  <c r="F22" i="7" s="1"/>
  <c r="C26" i="7" a="1"/>
  <c r="C26" i="7" s="1"/>
  <c r="C39" i="7" a="1"/>
  <c r="C39" i="7" s="1"/>
  <c r="G24" i="7" a="1"/>
  <c r="G24" i="7" s="1"/>
  <c r="F37" i="7" a="1"/>
  <c r="F37" i="7" s="1"/>
  <c r="D37" i="7" a="1"/>
  <c r="D37" i="7" s="1"/>
  <c r="D35" i="7" a="1"/>
  <c r="D35" i="7" s="1"/>
  <c r="F24" i="7" a="1"/>
  <c r="F24" i="7" s="1"/>
  <c r="C37" i="7" a="1"/>
  <c r="C37" i="7" s="1"/>
  <c r="F14" i="7" a="1"/>
  <c r="F14" i="7" s="1"/>
  <c r="D6" i="7" a="1"/>
  <c r="D6" i="7" s="1"/>
  <c r="G14" i="7" a="1"/>
  <c r="G14" i="7" s="1"/>
  <c r="C35" i="7" a="1"/>
  <c r="C35" i="7" s="1"/>
  <c r="G27" i="7" a="1"/>
  <c r="G27" i="7" s="1"/>
  <c r="D14" i="7" a="1"/>
  <c r="D14" i="7" s="1"/>
  <c r="G32" i="7" a="1"/>
  <c r="G32" i="7" s="1"/>
  <c r="G26" i="7" a="1"/>
  <c r="G26" i="7" s="1"/>
  <c r="F32" i="7" a="1"/>
  <c r="F32" i="7" s="1"/>
  <c r="F18" i="7" a="1"/>
  <c r="F18" i="7" s="1"/>
  <c r="F38" i="7" a="1"/>
  <c r="F38" i="7" s="1"/>
  <c r="G28" i="7" a="1"/>
  <c r="G28" i="7" s="1"/>
  <c r="F27" i="7" a="1"/>
  <c r="F27" i="7" s="1"/>
  <c r="C14" i="7" a="1"/>
  <c r="C14" i="7" s="1"/>
  <c r="C27" i="7" a="1"/>
  <c r="C27" i="7" s="1"/>
  <c r="D9" i="7" a="1"/>
  <c r="D9" i="7" s="1"/>
  <c r="E9" i="7" a="1"/>
  <c r="E9" i="7" s="1"/>
  <c r="D8" i="7" a="1"/>
  <c r="D8" i="7" s="1"/>
  <c r="E8" i="7" a="1"/>
  <c r="E8" i="7" s="1"/>
  <c r="H8" i="7" a="1"/>
  <c r="H8" i="7" s="1"/>
  <c r="H9" i="7" a="1"/>
  <c r="H9" i="7" s="1"/>
  <c r="H10" i="7" a="1"/>
  <c r="H10" i="7" s="1"/>
  <c r="K10" i="7" a="1"/>
  <c r="K10" i="7" s="1"/>
  <c r="J10" i="7" a="1"/>
  <c r="J10" i="7" s="1"/>
  <c r="D10" i="7" a="1"/>
  <c r="D10" i="7" s="1"/>
  <c r="O8" i="1"/>
  <c r="O24" i="1"/>
  <c r="O25" i="1" s="1"/>
  <c r="O18" i="1"/>
  <c r="O9" i="1"/>
  <c r="O27" i="1"/>
  <c r="O26" i="1"/>
  <c r="O28" i="1" s="1"/>
  <c r="O29" i="1" s="1"/>
  <c r="O19" i="1"/>
  <c r="O20" i="1" s="1"/>
  <c r="O22" i="1" s="1"/>
  <c r="O11" i="1"/>
  <c r="O10" i="1"/>
  <c r="O12" i="1" s="1"/>
  <c r="O13" i="1" s="1"/>
  <c r="O14" i="1" s="1"/>
  <c r="O15" i="1" s="1"/>
  <c r="O16" i="1" s="1"/>
  <c r="O17" i="1" s="1"/>
  <c r="O21" i="1"/>
  <c r="O30" i="1"/>
  <c r="O31" i="1" s="1"/>
  <c r="O32" i="1" s="1"/>
  <c r="O33" i="1" s="1"/>
  <c r="O34" i="1" s="1"/>
  <c r="O35" i="1" s="1"/>
  <c r="O36" i="1" s="1"/>
  <c r="J5" i="1"/>
  <c r="J4" i="1"/>
  <c r="E16" i="7" l="1"/>
  <c r="E37" i="7"/>
  <c r="G9" i="7"/>
  <c r="E32" i="7"/>
  <c r="I9" i="7"/>
  <c r="G10" i="7"/>
  <c r="E15" i="7"/>
  <c r="I10" i="7"/>
  <c r="G7" i="7"/>
  <c r="E19" i="7"/>
  <c r="E30" i="7"/>
  <c r="E38" i="7"/>
  <c r="E27" i="7"/>
  <c r="E25" i="7"/>
  <c r="E26" i="7"/>
  <c r="E21" i="7"/>
  <c r="G8" i="7"/>
  <c r="E28" i="7"/>
  <c r="I8" i="7"/>
  <c r="E35" i="7"/>
  <c r="F8" i="7"/>
  <c r="E31" i="7"/>
  <c r="F7" i="7"/>
  <c r="G6" i="7"/>
  <c r="F6" i="7"/>
  <c r="E33" i="7"/>
  <c r="E14" i="7"/>
  <c r="E29" i="7"/>
  <c r="F9" i="7"/>
  <c r="I6" i="7"/>
  <c r="F10" i="7"/>
  <c r="E39" i="7"/>
  <c r="E36" i="7"/>
  <c r="E23" i="7"/>
  <c r="E24" i="7"/>
  <c r="E34" i="7"/>
  <c r="E22" i="7"/>
  <c r="E17" i="7"/>
  <c r="E20" i="7"/>
  <c r="I7" i="7"/>
  <c r="E18"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<sst xmlns="http://schemas.openxmlformats.org/spreadsheetml/2006/main" count="1747" uniqueCount="1307">
  <si>
    <t>株式ポートフォリオ</t>
  </si>
  <si>
    <t>取得費用の総額</t>
  </si>
  <si>
    <t>評価額の合計</t>
  </si>
  <si>
    <t>NT分損益合計</t>
    <phoneticPr fontId="1"/>
  </si>
  <si>
    <t>評価損益 (\)</t>
  </si>
  <si>
    <t>評価損益 (%)</t>
  </si>
  <si>
    <t>コード</t>
  </si>
  <si>
    <t>IN日付</t>
    <phoneticPr fontId="1"/>
  </si>
  <si>
    <t>OUT日付</t>
    <rPh sb="3" eb="4">
      <t>ヒ</t>
    </rPh>
    <phoneticPr fontId="1"/>
  </si>
  <si>
    <t>保有株数</t>
  </si>
  <si>
    <t>IN価格/1株</t>
    <rPh sb="6" eb="7">
      <t>カブ</t>
    </rPh>
    <phoneticPr fontId="1"/>
  </si>
  <si>
    <t>諸経費</t>
  </si>
  <si>
    <t>OUT価格/1株</t>
    <rPh sb="3" eb="5">
      <t>カカク</t>
    </rPh>
    <phoneticPr fontId="1"/>
  </si>
  <si>
    <t>評価額</t>
  </si>
  <si>
    <t>日々の収支</t>
    <rPh sb="0" eb="2">
      <t>ヒビ</t>
    </rPh>
    <rPh sb="3" eb="5">
      <t>シュウシ</t>
    </rPh>
    <phoneticPr fontId="1"/>
  </si>
  <si>
    <t>　</t>
  </si>
  <si>
    <t>記号</t>
    <rPh sb="0" eb="2">
      <t>キゴウ</t>
    </rPh>
    <phoneticPr fontId="1"/>
  </si>
  <si>
    <t>日付</t>
  </si>
  <si>
    <t>今後に向けての課題と対策</t>
    <rPh sb="7" eb="9">
      <t>カダイ</t>
    </rPh>
    <phoneticPr fontId="1"/>
  </si>
  <si>
    <t>列7</t>
  </si>
  <si>
    <t>列8</t>
  </si>
  <si>
    <t>列9</t>
  </si>
  <si>
    <t>列10</t>
  </si>
  <si>
    <t>列11</t>
  </si>
  <si>
    <t>列12</t>
  </si>
  <si>
    <t>列13</t>
  </si>
  <si>
    <t>列14</t>
  </si>
  <si>
    <t>列15</t>
  </si>
  <si>
    <t>列16</t>
  </si>
  <si>
    <t>列17</t>
  </si>
  <si>
    <t>列18</t>
  </si>
  <si>
    <t>列19</t>
  </si>
  <si>
    <t>列20</t>
  </si>
  <si>
    <t>列21</t>
  </si>
  <si>
    <t>列22</t>
  </si>
  <si>
    <t>列23</t>
  </si>
  <si>
    <t>列24</t>
  </si>
  <si>
    <t>列25</t>
  </si>
  <si>
    <t>列26</t>
  </si>
  <si>
    <t>列27</t>
  </si>
  <si>
    <t>列28</t>
  </si>
  <si>
    <t>列29</t>
  </si>
  <si>
    <t>列30</t>
  </si>
  <si>
    <t>列31</t>
  </si>
  <si>
    <t>列32</t>
  </si>
  <si>
    <t>列33</t>
  </si>
  <si>
    <t>列34</t>
  </si>
  <si>
    <t>列35</t>
  </si>
  <si>
    <t>列36</t>
  </si>
  <si>
    <t>列37</t>
  </si>
  <si>
    <t>列38</t>
  </si>
  <si>
    <t>列39</t>
  </si>
  <si>
    <t>列40</t>
  </si>
  <si>
    <t>列41</t>
  </si>
  <si>
    <t>列42</t>
  </si>
  <si>
    <t>列43</t>
  </si>
  <si>
    <t>列44</t>
  </si>
  <si>
    <t>列45</t>
  </si>
  <si>
    <t>列46</t>
  </si>
  <si>
    <t>列47</t>
  </si>
  <si>
    <t>列48</t>
  </si>
  <si>
    <t>列49</t>
  </si>
  <si>
    <t>列50</t>
  </si>
  <si>
    <t>列51</t>
  </si>
  <si>
    <t>列52</t>
  </si>
  <si>
    <t>列53</t>
  </si>
  <si>
    <t>列54</t>
  </si>
  <si>
    <t>列55</t>
  </si>
  <si>
    <t>列56</t>
  </si>
  <si>
    <t>列57</t>
  </si>
  <si>
    <t>列58</t>
  </si>
  <si>
    <t>列59</t>
  </si>
  <si>
    <t>列60</t>
  </si>
  <si>
    <t>列61</t>
  </si>
  <si>
    <t>列62</t>
  </si>
  <si>
    <t>列63</t>
  </si>
  <si>
    <t>列64</t>
  </si>
  <si>
    <t>列65</t>
  </si>
  <si>
    <t>列66</t>
  </si>
  <si>
    <t>列67</t>
  </si>
  <si>
    <t>列68</t>
  </si>
  <si>
    <t>列69</t>
  </si>
  <si>
    <t>列70</t>
  </si>
  <si>
    <t>列71</t>
  </si>
  <si>
    <t>列72</t>
  </si>
  <si>
    <t>列73</t>
  </si>
  <si>
    <t>列74</t>
  </si>
  <si>
    <t>列75</t>
  </si>
  <si>
    <t>列76</t>
  </si>
  <si>
    <t>列77</t>
  </si>
  <si>
    <t>列78</t>
  </si>
  <si>
    <t>列79</t>
  </si>
  <si>
    <t>列80</t>
  </si>
  <si>
    <t>列81</t>
  </si>
  <si>
    <t>列82</t>
  </si>
  <si>
    <t>列83</t>
  </si>
  <si>
    <t>列84</t>
  </si>
  <si>
    <t>列85</t>
  </si>
  <si>
    <t>列86</t>
  </si>
  <si>
    <t>列87</t>
  </si>
  <si>
    <t>列88</t>
  </si>
  <si>
    <t>列89</t>
  </si>
  <si>
    <t>列90</t>
  </si>
  <si>
    <t>列91</t>
  </si>
  <si>
    <t>列92</t>
  </si>
  <si>
    <t>列93</t>
  </si>
  <si>
    <t>列94</t>
  </si>
  <si>
    <t>列95</t>
  </si>
  <si>
    <t>列96</t>
  </si>
  <si>
    <t>列97</t>
  </si>
  <si>
    <t>列98</t>
  </si>
  <si>
    <t>列99</t>
  </si>
  <si>
    <t>列100</t>
  </si>
  <si>
    <t>列101</t>
  </si>
  <si>
    <t>列102</t>
  </si>
  <si>
    <t>列103</t>
  </si>
  <si>
    <t>列104</t>
  </si>
  <si>
    <t>列105</t>
  </si>
  <si>
    <t>列106</t>
  </si>
  <si>
    <t>列107</t>
  </si>
  <si>
    <t>列108</t>
  </si>
  <si>
    <t>列109</t>
  </si>
  <si>
    <t>列110</t>
  </si>
  <si>
    <t>列111</t>
  </si>
  <si>
    <t>列112</t>
  </si>
  <si>
    <t>列113</t>
  </si>
  <si>
    <t>列114</t>
  </si>
  <si>
    <t>列115</t>
  </si>
  <si>
    <t>列116</t>
  </si>
  <si>
    <t>列117</t>
  </si>
  <si>
    <t>列118</t>
  </si>
  <si>
    <t>列119</t>
  </si>
  <si>
    <t>列120</t>
  </si>
  <si>
    <t>列121</t>
  </si>
  <si>
    <t>列122</t>
  </si>
  <si>
    <t>列123</t>
  </si>
  <si>
    <t>列124</t>
  </si>
  <si>
    <t>列125</t>
  </si>
  <si>
    <t>列126</t>
  </si>
  <si>
    <t>列127</t>
  </si>
  <si>
    <t>列128</t>
  </si>
  <si>
    <t>列129</t>
  </si>
  <si>
    <t>列130</t>
  </si>
  <si>
    <t>列131</t>
  </si>
  <si>
    <t>列132</t>
  </si>
  <si>
    <t>列133</t>
  </si>
  <si>
    <t>列134</t>
  </si>
  <si>
    <t>列135</t>
  </si>
  <si>
    <t>列136</t>
  </si>
  <si>
    <t>列137</t>
  </si>
  <si>
    <t>列138</t>
  </si>
  <si>
    <t>列139</t>
  </si>
  <si>
    <t>列140</t>
  </si>
  <si>
    <t>列141</t>
  </si>
  <si>
    <t>列142</t>
  </si>
  <si>
    <t>列143</t>
  </si>
  <si>
    <t>列144</t>
  </si>
  <si>
    <t>列145</t>
  </si>
  <si>
    <t>列146</t>
  </si>
  <si>
    <t>列147</t>
  </si>
  <si>
    <t>列148</t>
  </si>
  <si>
    <t>列149</t>
  </si>
  <si>
    <t>列150</t>
  </si>
  <si>
    <t>列151</t>
  </si>
  <si>
    <t>列152</t>
  </si>
  <si>
    <t>列153</t>
  </si>
  <si>
    <t>列154</t>
  </si>
  <si>
    <t>列155</t>
  </si>
  <si>
    <t>列156</t>
  </si>
  <si>
    <t>列157</t>
  </si>
  <si>
    <t>列158</t>
  </si>
  <si>
    <t>列159</t>
  </si>
  <si>
    <t>列160</t>
  </si>
  <si>
    <t>列161</t>
  </si>
  <si>
    <t>列162</t>
  </si>
  <si>
    <t>列163</t>
  </si>
  <si>
    <t>列164</t>
  </si>
  <si>
    <t>列165</t>
  </si>
  <si>
    <t>列166</t>
  </si>
  <si>
    <t>列167</t>
  </si>
  <si>
    <t>列168</t>
  </si>
  <si>
    <t>列169</t>
  </si>
  <si>
    <t>列170</t>
  </si>
  <si>
    <t>列171</t>
  </si>
  <si>
    <t>列172</t>
  </si>
  <si>
    <t>列173</t>
  </si>
  <si>
    <t>列174</t>
  </si>
  <si>
    <t>列175</t>
  </si>
  <si>
    <t>列176</t>
  </si>
  <si>
    <t>列177</t>
  </si>
  <si>
    <t>列178</t>
  </si>
  <si>
    <t>列179</t>
  </si>
  <si>
    <t>列180</t>
  </si>
  <si>
    <t>列181</t>
  </si>
  <si>
    <t>列182</t>
  </si>
  <si>
    <t>列183</t>
  </si>
  <si>
    <t>列184</t>
  </si>
  <si>
    <t>列185</t>
  </si>
  <si>
    <t>列186</t>
  </si>
  <si>
    <t>列187</t>
  </si>
  <si>
    <t>列188</t>
  </si>
  <si>
    <t>列189</t>
  </si>
  <si>
    <t>列190</t>
  </si>
  <si>
    <t>列191</t>
  </si>
  <si>
    <t>列192</t>
  </si>
  <si>
    <t>列193</t>
  </si>
  <si>
    <t>列194</t>
  </si>
  <si>
    <t>列195</t>
  </si>
  <si>
    <t>列196</t>
  </si>
  <si>
    <t>列197</t>
  </si>
  <si>
    <t>列198</t>
  </si>
  <si>
    <t>列199</t>
  </si>
  <si>
    <t>列200</t>
  </si>
  <si>
    <t>列201</t>
  </si>
  <si>
    <t>列202</t>
  </si>
  <si>
    <t>列203</t>
  </si>
  <si>
    <t>列204</t>
  </si>
  <si>
    <t>列205</t>
  </si>
  <si>
    <t>列206</t>
  </si>
  <si>
    <t>列207</t>
  </si>
  <si>
    <t>列208</t>
  </si>
  <si>
    <t>列209</t>
  </si>
  <si>
    <t>列210</t>
  </si>
  <si>
    <t>列211</t>
  </si>
  <si>
    <t>列212</t>
  </si>
  <si>
    <t>列213</t>
  </si>
  <si>
    <t>列214</t>
  </si>
  <si>
    <t>列215</t>
  </si>
  <si>
    <t>列216</t>
  </si>
  <si>
    <t>列217</t>
  </si>
  <si>
    <t>列218</t>
  </si>
  <si>
    <t>列219</t>
  </si>
  <si>
    <t>列220</t>
  </si>
  <si>
    <t>列221</t>
  </si>
  <si>
    <t>列222</t>
  </si>
  <si>
    <t>列223</t>
  </si>
  <si>
    <t>列224</t>
  </si>
  <si>
    <t>列225</t>
  </si>
  <si>
    <t>列226</t>
  </si>
  <si>
    <t>列227</t>
  </si>
  <si>
    <t>列228</t>
  </si>
  <si>
    <t>列229</t>
  </si>
  <si>
    <t>列230</t>
  </si>
  <si>
    <t>列231</t>
  </si>
  <si>
    <t>列232</t>
  </si>
  <si>
    <t>列233</t>
  </si>
  <si>
    <t>列234</t>
  </si>
  <si>
    <t>列235</t>
  </si>
  <si>
    <t>列236</t>
  </si>
  <si>
    <t>列237</t>
  </si>
  <si>
    <t>列238</t>
  </si>
  <si>
    <t>列239</t>
  </si>
  <si>
    <t>列240</t>
  </si>
  <si>
    <t>列241</t>
  </si>
  <si>
    <t>列242</t>
  </si>
  <si>
    <t>列243</t>
  </si>
  <si>
    <t>列244</t>
  </si>
  <si>
    <t>列245</t>
  </si>
  <si>
    <t>列246</t>
  </si>
  <si>
    <t>列247</t>
  </si>
  <si>
    <t>列248</t>
  </si>
  <si>
    <t>列249</t>
  </si>
  <si>
    <t>列250</t>
  </si>
  <si>
    <t>列251</t>
  </si>
  <si>
    <t>列252</t>
  </si>
  <si>
    <t>列253</t>
  </si>
  <si>
    <t>列254</t>
  </si>
  <si>
    <t>列255</t>
  </si>
  <si>
    <t>列256</t>
  </si>
  <si>
    <t>列257</t>
  </si>
  <si>
    <t>列258</t>
  </si>
  <si>
    <t>列259</t>
  </si>
  <si>
    <t>列260</t>
  </si>
  <si>
    <t>列261</t>
  </si>
  <si>
    <t>列262</t>
  </si>
  <si>
    <t>列263</t>
  </si>
  <si>
    <t>列264</t>
  </si>
  <si>
    <t>列265</t>
  </si>
  <si>
    <t>列266</t>
  </si>
  <si>
    <t>列267</t>
  </si>
  <si>
    <t>列268</t>
  </si>
  <si>
    <t>列269</t>
  </si>
  <si>
    <t>列270</t>
  </si>
  <si>
    <t>列271</t>
  </si>
  <si>
    <t>列272</t>
  </si>
  <si>
    <t>列273</t>
  </si>
  <si>
    <t>列274</t>
  </si>
  <si>
    <t>列275</t>
  </si>
  <si>
    <t>列276</t>
  </si>
  <si>
    <t>列277</t>
  </si>
  <si>
    <t>列278</t>
  </si>
  <si>
    <t>列279</t>
  </si>
  <si>
    <t>列280</t>
  </si>
  <si>
    <t>列281</t>
  </si>
  <si>
    <t>列282</t>
  </si>
  <si>
    <t>列283</t>
  </si>
  <si>
    <t>列284</t>
  </si>
  <si>
    <t>列285</t>
  </si>
  <si>
    <t>列286</t>
  </si>
  <si>
    <t>列287</t>
  </si>
  <si>
    <t>列288</t>
  </si>
  <si>
    <t>列289</t>
  </si>
  <si>
    <t>列290</t>
  </si>
  <si>
    <t>列291</t>
  </si>
  <si>
    <t>列292</t>
  </si>
  <si>
    <t>列293</t>
  </si>
  <si>
    <t>列294</t>
  </si>
  <si>
    <t>列295</t>
  </si>
  <si>
    <t>列296</t>
  </si>
  <si>
    <t>列297</t>
  </si>
  <si>
    <t>列298</t>
  </si>
  <si>
    <t>列299</t>
  </si>
  <si>
    <t>列300</t>
  </si>
  <si>
    <t>列301</t>
  </si>
  <si>
    <t>列302</t>
  </si>
  <si>
    <t>列303</t>
  </si>
  <si>
    <t>列304</t>
  </si>
  <si>
    <t>列305</t>
  </si>
  <si>
    <t>列306</t>
  </si>
  <si>
    <t>列307</t>
  </si>
  <si>
    <t>列308</t>
  </si>
  <si>
    <t>列309</t>
  </si>
  <si>
    <t>列310</t>
  </si>
  <si>
    <t>列311</t>
  </si>
  <si>
    <t>列312</t>
  </si>
  <si>
    <t>列313</t>
  </si>
  <si>
    <t>列314</t>
  </si>
  <si>
    <t>列315</t>
  </si>
  <si>
    <t>列316</t>
  </si>
  <si>
    <t>列317</t>
  </si>
  <si>
    <t>列318</t>
  </si>
  <si>
    <t>列319</t>
  </si>
  <si>
    <t>列320</t>
  </si>
  <si>
    <t>列321</t>
  </si>
  <si>
    <t>列322</t>
  </si>
  <si>
    <t>列323</t>
  </si>
  <si>
    <t>列324</t>
  </si>
  <si>
    <t>列325</t>
  </si>
  <si>
    <t>列326</t>
  </si>
  <si>
    <t>列327</t>
  </si>
  <si>
    <t>列328</t>
  </si>
  <si>
    <t>列329</t>
  </si>
  <si>
    <t>列330</t>
  </si>
  <si>
    <t>列331</t>
  </si>
  <si>
    <t>列332</t>
  </si>
  <si>
    <t>列333</t>
  </si>
  <si>
    <t>列334</t>
  </si>
  <si>
    <t>列335</t>
  </si>
  <si>
    <t>列336</t>
  </si>
  <si>
    <t>列337</t>
  </si>
  <si>
    <t>列338</t>
  </si>
  <si>
    <t>列339</t>
  </si>
  <si>
    <t>列340</t>
  </si>
  <si>
    <t>列341</t>
  </si>
  <si>
    <t>列342</t>
  </si>
  <si>
    <t>列343</t>
  </si>
  <si>
    <t>列344</t>
  </si>
  <si>
    <t>列345</t>
  </si>
  <si>
    <t>列346</t>
  </si>
  <si>
    <t>列347</t>
  </si>
  <si>
    <t>列348</t>
  </si>
  <si>
    <t>列349</t>
  </si>
  <si>
    <t>列350</t>
  </si>
  <si>
    <t>列351</t>
  </si>
  <si>
    <t>列352</t>
  </si>
  <si>
    <t>列353</t>
  </si>
  <si>
    <t>列354</t>
  </si>
  <si>
    <t>列355</t>
  </si>
  <si>
    <t>列356</t>
  </si>
  <si>
    <t>列357</t>
  </si>
  <si>
    <t>列358</t>
  </si>
  <si>
    <t>列359</t>
  </si>
  <si>
    <t>列360</t>
  </si>
  <si>
    <t>列361</t>
  </si>
  <si>
    <t>列362</t>
  </si>
  <si>
    <t>列363</t>
  </si>
  <si>
    <t>列364</t>
  </si>
  <si>
    <t>列365</t>
  </si>
  <si>
    <t>列366</t>
  </si>
  <si>
    <t>列367</t>
  </si>
  <si>
    <t>列368</t>
  </si>
  <si>
    <t>列369</t>
  </si>
  <si>
    <t>列370</t>
  </si>
  <si>
    <t>列371</t>
  </si>
  <si>
    <t>列372</t>
  </si>
  <si>
    <t>列373</t>
  </si>
  <si>
    <t>列374</t>
  </si>
  <si>
    <t>列375</t>
  </si>
  <si>
    <t>列376</t>
  </si>
  <si>
    <t>列377</t>
  </si>
  <si>
    <t>列378</t>
  </si>
  <si>
    <t>列379</t>
  </si>
  <si>
    <t>列380</t>
  </si>
  <si>
    <t>列381</t>
  </si>
  <si>
    <t>列382</t>
  </si>
  <si>
    <t>列383</t>
  </si>
  <si>
    <t>列384</t>
  </si>
  <si>
    <t>列385</t>
  </si>
  <si>
    <t>列386</t>
  </si>
  <si>
    <t>列387</t>
  </si>
  <si>
    <t>列388</t>
  </si>
  <si>
    <t>列389</t>
  </si>
  <si>
    <t>列390</t>
  </si>
  <si>
    <t>列391</t>
  </si>
  <si>
    <t>列392</t>
  </si>
  <si>
    <t>列393</t>
  </si>
  <si>
    <t>列394</t>
  </si>
  <si>
    <t>列395</t>
  </si>
  <si>
    <t>列396</t>
  </si>
  <si>
    <t>列397</t>
  </si>
  <si>
    <t>列398</t>
  </si>
  <si>
    <t>列399</t>
  </si>
  <si>
    <t>列400</t>
  </si>
  <si>
    <t>列401</t>
  </si>
  <si>
    <t>列402</t>
  </si>
  <si>
    <t>列403</t>
  </si>
  <si>
    <t>列404</t>
  </si>
  <si>
    <t>列405</t>
  </si>
  <si>
    <t>列406</t>
  </si>
  <si>
    <t>列407</t>
  </si>
  <si>
    <t>列408</t>
  </si>
  <si>
    <t>列409</t>
  </si>
  <si>
    <t>列410</t>
  </si>
  <si>
    <t>列411</t>
  </si>
  <si>
    <t>列412</t>
  </si>
  <si>
    <t>列413</t>
  </si>
  <si>
    <t>列414</t>
  </si>
  <si>
    <t>列415</t>
  </si>
  <si>
    <t>列416</t>
  </si>
  <si>
    <t>列417</t>
  </si>
  <si>
    <t>列418</t>
  </si>
  <si>
    <t>列419</t>
  </si>
  <si>
    <t>列420</t>
  </si>
  <si>
    <t>列421</t>
  </si>
  <si>
    <t>列422</t>
  </si>
  <si>
    <t>列423</t>
  </si>
  <si>
    <t>列424</t>
  </si>
  <si>
    <t>列425</t>
  </si>
  <si>
    <t>列426</t>
  </si>
  <si>
    <t>列427</t>
  </si>
  <si>
    <t>列428</t>
  </si>
  <si>
    <t>列429</t>
  </si>
  <si>
    <t>列430</t>
  </si>
  <si>
    <t>列431</t>
  </si>
  <si>
    <t>列432</t>
  </si>
  <si>
    <t>列433</t>
  </si>
  <si>
    <t>列434</t>
  </si>
  <si>
    <t>列435</t>
  </si>
  <si>
    <t>列436</t>
  </si>
  <si>
    <t>列437</t>
  </si>
  <si>
    <t>列438</t>
  </si>
  <si>
    <t>列439</t>
  </si>
  <si>
    <t>列440</t>
  </si>
  <si>
    <t>列441</t>
  </si>
  <si>
    <t>列442</t>
  </si>
  <si>
    <t>列443</t>
  </si>
  <si>
    <t>列444</t>
  </si>
  <si>
    <t>列445</t>
  </si>
  <si>
    <t>列446</t>
  </si>
  <si>
    <t>列447</t>
  </si>
  <si>
    <t>列448</t>
  </si>
  <si>
    <t>列449</t>
  </si>
  <si>
    <t>列450</t>
  </si>
  <si>
    <t>列451</t>
  </si>
  <si>
    <t>列452</t>
  </si>
  <si>
    <t>列453</t>
  </si>
  <si>
    <t>列454</t>
  </si>
  <si>
    <t>列455</t>
  </si>
  <si>
    <t>列456</t>
  </si>
  <si>
    <t>列457</t>
  </si>
  <si>
    <t>列458</t>
  </si>
  <si>
    <t>列459</t>
  </si>
  <si>
    <t>列460</t>
  </si>
  <si>
    <t>列461</t>
  </si>
  <si>
    <t>列462</t>
  </si>
  <si>
    <t>列463</t>
  </si>
  <si>
    <t>列464</t>
  </si>
  <si>
    <t>列465</t>
  </si>
  <si>
    <t>列466</t>
  </si>
  <si>
    <t>列467</t>
  </si>
  <si>
    <t>列468</t>
  </si>
  <si>
    <t>列469</t>
  </si>
  <si>
    <t>列470</t>
  </si>
  <si>
    <t>列471</t>
  </si>
  <si>
    <t>列472</t>
  </si>
  <si>
    <t>列473</t>
  </si>
  <si>
    <t>列474</t>
  </si>
  <si>
    <t>列475</t>
  </si>
  <si>
    <t>列476</t>
  </si>
  <si>
    <t>列477</t>
  </si>
  <si>
    <t>列478</t>
  </si>
  <si>
    <t>列479</t>
  </si>
  <si>
    <t>列480</t>
  </si>
  <si>
    <t>列481</t>
  </si>
  <si>
    <t>列482</t>
  </si>
  <si>
    <t>列483</t>
  </si>
  <si>
    <t>列484</t>
  </si>
  <si>
    <t>列485</t>
  </si>
  <si>
    <t>列486</t>
  </si>
  <si>
    <t>列487</t>
  </si>
  <si>
    <t>列488</t>
  </si>
  <si>
    <t>列489</t>
  </si>
  <si>
    <t>列490</t>
  </si>
  <si>
    <t>列491</t>
  </si>
  <si>
    <t>列492</t>
  </si>
  <si>
    <t>列493</t>
  </si>
  <si>
    <t>列494</t>
  </si>
  <si>
    <t>列495</t>
  </si>
  <si>
    <t>列496</t>
  </si>
  <si>
    <t>列497</t>
  </si>
  <si>
    <t>列498</t>
  </si>
  <si>
    <t>列499</t>
  </si>
  <si>
    <t>列500</t>
  </si>
  <si>
    <t>列501</t>
  </si>
  <si>
    <t>列502</t>
  </si>
  <si>
    <t>列503</t>
  </si>
  <si>
    <t>列504</t>
  </si>
  <si>
    <t>列505</t>
  </si>
  <si>
    <t>列506</t>
  </si>
  <si>
    <t>列507</t>
  </si>
  <si>
    <t>列508</t>
  </si>
  <si>
    <t>列509</t>
  </si>
  <si>
    <t>列510</t>
  </si>
  <si>
    <t>列511</t>
  </si>
  <si>
    <t>列512</t>
  </si>
  <si>
    <t>列513</t>
  </si>
  <si>
    <t>列514</t>
  </si>
  <si>
    <t>列515</t>
  </si>
  <si>
    <t>列516</t>
  </si>
  <si>
    <t>列517</t>
  </si>
  <si>
    <t>列518</t>
  </si>
  <si>
    <t>列519</t>
  </si>
  <si>
    <t>列520</t>
  </si>
  <si>
    <t>列521</t>
  </si>
  <si>
    <t>列522</t>
  </si>
  <si>
    <t>列523</t>
  </si>
  <si>
    <t>列524</t>
  </si>
  <si>
    <t>列525</t>
  </si>
  <si>
    <t>列526</t>
  </si>
  <si>
    <t>列527</t>
  </si>
  <si>
    <t>列528</t>
  </si>
  <si>
    <t>列529</t>
  </si>
  <si>
    <t>列530</t>
  </si>
  <si>
    <t>列531</t>
  </si>
  <si>
    <t>列532</t>
  </si>
  <si>
    <t>列533</t>
  </si>
  <si>
    <t>列534</t>
  </si>
  <si>
    <t>列535</t>
  </si>
  <si>
    <t>列536</t>
  </si>
  <si>
    <t>列537</t>
  </si>
  <si>
    <t>列538</t>
  </si>
  <si>
    <t>列539</t>
  </si>
  <si>
    <t>列540</t>
  </si>
  <si>
    <t>列541</t>
  </si>
  <si>
    <t>列542</t>
  </si>
  <si>
    <t>列543</t>
  </si>
  <si>
    <t>列544</t>
  </si>
  <si>
    <t>列545</t>
  </si>
  <si>
    <t>列546</t>
  </si>
  <si>
    <t>列547</t>
  </si>
  <si>
    <t>列548</t>
  </si>
  <si>
    <t>列549</t>
  </si>
  <si>
    <t>列550</t>
  </si>
  <si>
    <t>列551</t>
  </si>
  <si>
    <t>列552</t>
  </si>
  <si>
    <t>列553</t>
  </si>
  <si>
    <t>列554</t>
  </si>
  <si>
    <t>列555</t>
  </si>
  <si>
    <t>列556</t>
  </si>
  <si>
    <t>列557</t>
  </si>
  <si>
    <t>列558</t>
  </si>
  <si>
    <t>列559</t>
  </si>
  <si>
    <t>列560</t>
  </si>
  <si>
    <t>列561</t>
  </si>
  <si>
    <t>列562</t>
  </si>
  <si>
    <t>列563</t>
  </si>
  <si>
    <t>列564</t>
  </si>
  <si>
    <t>列565</t>
  </si>
  <si>
    <t>列566</t>
  </si>
  <si>
    <t>列567</t>
  </si>
  <si>
    <t>列568</t>
  </si>
  <si>
    <t>列569</t>
  </si>
  <si>
    <t>列570</t>
  </si>
  <si>
    <t>列571</t>
  </si>
  <si>
    <t>列572</t>
  </si>
  <si>
    <t>列573</t>
  </si>
  <si>
    <t>列574</t>
  </si>
  <si>
    <t>列575</t>
  </si>
  <si>
    <t>列576</t>
  </si>
  <si>
    <t>列577</t>
  </si>
  <si>
    <t>列578</t>
  </si>
  <si>
    <t>列579</t>
  </si>
  <si>
    <t>列580</t>
  </si>
  <si>
    <t>列581</t>
  </si>
  <si>
    <t>列582</t>
  </si>
  <si>
    <t>列583</t>
  </si>
  <si>
    <t>列584</t>
  </si>
  <si>
    <t>列585</t>
  </si>
  <si>
    <t>列586</t>
  </si>
  <si>
    <t>列587</t>
  </si>
  <si>
    <t>列588</t>
  </si>
  <si>
    <t>列589</t>
  </si>
  <si>
    <t>列590</t>
  </si>
  <si>
    <t>列591</t>
  </si>
  <si>
    <t>列592</t>
  </si>
  <si>
    <t>列593</t>
  </si>
  <si>
    <t>列594</t>
  </si>
  <si>
    <t>列595</t>
  </si>
  <si>
    <t>列596</t>
  </si>
  <si>
    <t>列597</t>
  </si>
  <si>
    <t>列598</t>
  </si>
  <si>
    <t>列599</t>
  </si>
  <si>
    <t>列600</t>
  </si>
  <si>
    <t>列601</t>
  </si>
  <si>
    <t>列602</t>
  </si>
  <si>
    <t>列603</t>
  </si>
  <si>
    <t>列604</t>
  </si>
  <si>
    <t>列605</t>
  </si>
  <si>
    <t>列606</t>
  </si>
  <si>
    <t>列607</t>
  </si>
  <si>
    <t>列608</t>
  </si>
  <si>
    <t>列609</t>
  </si>
  <si>
    <t>列610</t>
  </si>
  <si>
    <t>列611</t>
  </si>
  <si>
    <t>列612</t>
  </si>
  <si>
    <t>列613</t>
  </si>
  <si>
    <t>列614</t>
  </si>
  <si>
    <t>列615</t>
  </si>
  <si>
    <t>列616</t>
  </si>
  <si>
    <t>列617</t>
  </si>
  <si>
    <t>列618</t>
  </si>
  <si>
    <t>列619</t>
  </si>
  <si>
    <t>列620</t>
  </si>
  <si>
    <t>列621</t>
  </si>
  <si>
    <t>列622</t>
  </si>
  <si>
    <t>列623</t>
  </si>
  <si>
    <t>列624</t>
  </si>
  <si>
    <t>列625</t>
  </si>
  <si>
    <t>列626</t>
  </si>
  <si>
    <t>列627</t>
  </si>
  <si>
    <t>列628</t>
  </si>
  <si>
    <t>列629</t>
  </si>
  <si>
    <t>列630</t>
  </si>
  <si>
    <t>列631</t>
  </si>
  <si>
    <t>列632</t>
  </si>
  <si>
    <t>列633</t>
  </si>
  <si>
    <t>列634</t>
  </si>
  <si>
    <t>列635</t>
  </si>
  <si>
    <t>列636</t>
  </si>
  <si>
    <t>列637</t>
  </si>
  <si>
    <t>列638</t>
  </si>
  <si>
    <t>列639</t>
  </si>
  <si>
    <t>列640</t>
  </si>
  <si>
    <t>列641</t>
  </si>
  <si>
    <t>列642</t>
  </si>
  <si>
    <t>列643</t>
  </si>
  <si>
    <t>列644</t>
  </si>
  <si>
    <t>列645</t>
  </si>
  <si>
    <t>列646</t>
  </si>
  <si>
    <t>列647</t>
  </si>
  <si>
    <t>列648</t>
  </si>
  <si>
    <t>列649</t>
  </si>
  <si>
    <t>列650</t>
  </si>
  <si>
    <t>列651</t>
  </si>
  <si>
    <t>列652</t>
  </si>
  <si>
    <t>列653</t>
  </si>
  <si>
    <t>列654</t>
  </si>
  <si>
    <t>列655</t>
  </si>
  <si>
    <t>列656</t>
  </si>
  <si>
    <t>列657</t>
  </si>
  <si>
    <t>列658</t>
  </si>
  <si>
    <t>列659</t>
  </si>
  <si>
    <t>列660</t>
  </si>
  <si>
    <t>列661</t>
  </si>
  <si>
    <t>列662</t>
  </si>
  <si>
    <t>列663</t>
  </si>
  <si>
    <t>列664</t>
  </si>
  <si>
    <t>列665</t>
  </si>
  <si>
    <t>列666</t>
  </si>
  <si>
    <t>列667</t>
  </si>
  <si>
    <t>列668</t>
  </si>
  <si>
    <t>列669</t>
  </si>
  <si>
    <t>列670</t>
  </si>
  <si>
    <t>列671</t>
  </si>
  <si>
    <t>列672</t>
  </si>
  <si>
    <t>列673</t>
  </si>
  <si>
    <t>列674</t>
  </si>
  <si>
    <t>列675</t>
  </si>
  <si>
    <t>列676</t>
  </si>
  <si>
    <t>列677</t>
  </si>
  <si>
    <t>列678</t>
  </si>
  <si>
    <t>列679</t>
  </si>
  <si>
    <t>列680</t>
  </si>
  <si>
    <t>列681</t>
  </si>
  <si>
    <t>列682</t>
  </si>
  <si>
    <t>列683</t>
  </si>
  <si>
    <t>列684</t>
  </si>
  <si>
    <t>列685</t>
  </si>
  <si>
    <t>列686</t>
  </si>
  <si>
    <t>列687</t>
  </si>
  <si>
    <t>列688</t>
  </si>
  <si>
    <t>列689</t>
  </si>
  <si>
    <t>列690</t>
  </si>
  <si>
    <t>列691</t>
  </si>
  <si>
    <t>列692</t>
  </si>
  <si>
    <t>列693</t>
  </si>
  <si>
    <t>列694</t>
  </si>
  <si>
    <t>列695</t>
  </si>
  <si>
    <t>列696</t>
  </si>
  <si>
    <t>列697</t>
  </si>
  <si>
    <t>列698</t>
  </si>
  <si>
    <t>列699</t>
  </si>
  <si>
    <t>列700</t>
  </si>
  <si>
    <t>列701</t>
  </si>
  <si>
    <t>列702</t>
  </si>
  <si>
    <t>列703</t>
  </si>
  <si>
    <t>列704</t>
  </si>
  <si>
    <t>列705</t>
  </si>
  <si>
    <t>列706</t>
  </si>
  <si>
    <t>列707</t>
  </si>
  <si>
    <t>列708</t>
  </si>
  <si>
    <t>列709</t>
  </si>
  <si>
    <t>列710</t>
  </si>
  <si>
    <t>列711</t>
  </si>
  <si>
    <t>列712</t>
  </si>
  <si>
    <t>列713</t>
  </si>
  <si>
    <t>列714</t>
  </si>
  <si>
    <t>列715</t>
  </si>
  <si>
    <t>列716</t>
  </si>
  <si>
    <t>列717</t>
  </si>
  <si>
    <t>列718</t>
  </si>
  <si>
    <t>列719</t>
  </si>
  <si>
    <t>列720</t>
  </si>
  <si>
    <t>列721</t>
  </si>
  <si>
    <t>列722</t>
  </si>
  <si>
    <t>列723</t>
  </si>
  <si>
    <t>列724</t>
  </si>
  <si>
    <t>列725</t>
  </si>
  <si>
    <t>列726</t>
  </si>
  <si>
    <t>列727</t>
  </si>
  <si>
    <t>列728</t>
  </si>
  <si>
    <t>列729</t>
  </si>
  <si>
    <t>列730</t>
  </si>
  <si>
    <t>列731</t>
  </si>
  <si>
    <t>列732</t>
  </si>
  <si>
    <t>列733</t>
  </si>
  <si>
    <t>列734</t>
  </si>
  <si>
    <t>列735</t>
  </si>
  <si>
    <t>列736</t>
  </si>
  <si>
    <t>列737</t>
  </si>
  <si>
    <t>列738</t>
  </si>
  <si>
    <t>列739</t>
  </si>
  <si>
    <t>列740</t>
  </si>
  <si>
    <t>列741</t>
  </si>
  <si>
    <t>列742</t>
  </si>
  <si>
    <t>列743</t>
  </si>
  <si>
    <t>列744</t>
  </si>
  <si>
    <t>列745</t>
  </si>
  <si>
    <t>列746</t>
  </si>
  <si>
    <t>列747</t>
  </si>
  <si>
    <t>列748</t>
  </si>
  <si>
    <t>列749</t>
  </si>
  <si>
    <t>列750</t>
  </si>
  <si>
    <t>列751</t>
  </si>
  <si>
    <t>列752</t>
  </si>
  <si>
    <t>列753</t>
  </si>
  <si>
    <t>列754</t>
  </si>
  <si>
    <t>列755</t>
  </si>
  <si>
    <t>列756</t>
  </si>
  <si>
    <t>列757</t>
  </si>
  <si>
    <t>列758</t>
  </si>
  <si>
    <t>列759</t>
  </si>
  <si>
    <t>列760</t>
  </si>
  <si>
    <t>列761</t>
  </si>
  <si>
    <t>列762</t>
  </si>
  <si>
    <t>列763</t>
  </si>
  <si>
    <t>列764</t>
  </si>
  <si>
    <t>列765</t>
  </si>
  <si>
    <t>列766</t>
  </si>
  <si>
    <t>列767</t>
  </si>
  <si>
    <t>列768</t>
  </si>
  <si>
    <t>列769</t>
  </si>
  <si>
    <t>列770</t>
  </si>
  <si>
    <t>列771</t>
  </si>
  <si>
    <t>列772</t>
  </si>
  <si>
    <t>列773</t>
  </si>
  <si>
    <t>列774</t>
  </si>
  <si>
    <t>列775</t>
  </si>
  <si>
    <t>列776</t>
  </si>
  <si>
    <t>列777</t>
  </si>
  <si>
    <t>列778</t>
  </si>
  <si>
    <t>列779</t>
  </si>
  <si>
    <t>列780</t>
  </si>
  <si>
    <t>列781</t>
  </si>
  <si>
    <t>列782</t>
  </si>
  <si>
    <t>列783</t>
  </si>
  <si>
    <t>列784</t>
  </si>
  <si>
    <t>列785</t>
  </si>
  <si>
    <t>列786</t>
  </si>
  <si>
    <t>列787</t>
  </si>
  <si>
    <t>列788</t>
  </si>
  <si>
    <t>列789</t>
  </si>
  <si>
    <t>列790</t>
  </si>
  <si>
    <t>列791</t>
  </si>
  <si>
    <t>列792</t>
  </si>
  <si>
    <t>列793</t>
  </si>
  <si>
    <t>列794</t>
  </si>
  <si>
    <t>列795</t>
  </si>
  <si>
    <t>列796</t>
  </si>
  <si>
    <t>列797</t>
  </si>
  <si>
    <t>列798</t>
  </si>
  <si>
    <t>列799</t>
  </si>
  <si>
    <t>列800</t>
  </si>
  <si>
    <t>列801</t>
  </si>
  <si>
    <t>列802</t>
  </si>
  <si>
    <t>列803</t>
  </si>
  <si>
    <t>列804</t>
  </si>
  <si>
    <t>列805</t>
  </si>
  <si>
    <t>列806</t>
  </si>
  <si>
    <t>列807</t>
  </si>
  <si>
    <t>列808</t>
  </si>
  <si>
    <t>列809</t>
  </si>
  <si>
    <t>列810</t>
  </si>
  <si>
    <t>列811</t>
  </si>
  <si>
    <t>列812</t>
  </si>
  <si>
    <t>列813</t>
  </si>
  <si>
    <t>列814</t>
  </si>
  <si>
    <t>列815</t>
  </si>
  <si>
    <t>列816</t>
  </si>
  <si>
    <t>列817</t>
  </si>
  <si>
    <t>列818</t>
  </si>
  <si>
    <t>列819</t>
  </si>
  <si>
    <t>列820</t>
  </si>
  <si>
    <t>列821</t>
  </si>
  <si>
    <t>列822</t>
  </si>
  <si>
    <t>列823</t>
  </si>
  <si>
    <t>列824</t>
  </si>
  <si>
    <t>列825</t>
  </si>
  <si>
    <t>列826</t>
  </si>
  <si>
    <t>列827</t>
  </si>
  <si>
    <t>列828</t>
  </si>
  <si>
    <t>列829</t>
  </si>
  <si>
    <t>列830</t>
  </si>
  <si>
    <t>列831</t>
  </si>
  <si>
    <t>列832</t>
  </si>
  <si>
    <t>列833</t>
  </si>
  <si>
    <t>列834</t>
  </si>
  <si>
    <t>列835</t>
  </si>
  <si>
    <t>列836</t>
  </si>
  <si>
    <t>列837</t>
  </si>
  <si>
    <t>列838</t>
  </si>
  <si>
    <t>列839</t>
  </si>
  <si>
    <t>列840</t>
  </si>
  <si>
    <t>列841</t>
  </si>
  <si>
    <t>列842</t>
  </si>
  <si>
    <t>列843</t>
  </si>
  <si>
    <t>列844</t>
  </si>
  <si>
    <t>列845</t>
  </si>
  <si>
    <t>列846</t>
  </si>
  <si>
    <t>列847</t>
  </si>
  <si>
    <t>列848</t>
  </si>
  <si>
    <t>列849</t>
  </si>
  <si>
    <t>列850</t>
  </si>
  <si>
    <t>列851</t>
  </si>
  <si>
    <t>列852</t>
  </si>
  <si>
    <t>列853</t>
  </si>
  <si>
    <t>列854</t>
  </si>
  <si>
    <t>列855</t>
  </si>
  <si>
    <t>列856</t>
  </si>
  <si>
    <t>列857</t>
  </si>
  <si>
    <t>列858</t>
  </si>
  <si>
    <t>列859</t>
  </si>
  <si>
    <t>列860</t>
  </si>
  <si>
    <t>列861</t>
  </si>
  <si>
    <t>列862</t>
  </si>
  <si>
    <t>列863</t>
  </si>
  <si>
    <t>列864</t>
  </si>
  <si>
    <t>列865</t>
  </si>
  <si>
    <t>列866</t>
  </si>
  <si>
    <t>列867</t>
  </si>
  <si>
    <t>列868</t>
  </si>
  <si>
    <t>列869</t>
  </si>
  <si>
    <t>列870</t>
  </si>
  <si>
    <t>列871</t>
  </si>
  <si>
    <t>列872</t>
  </si>
  <si>
    <t>列873</t>
  </si>
  <si>
    <t>列874</t>
  </si>
  <si>
    <t>列875</t>
  </si>
  <si>
    <t>列876</t>
  </si>
  <si>
    <t>列877</t>
  </si>
  <si>
    <t>列878</t>
  </si>
  <si>
    <t>列879</t>
  </si>
  <si>
    <t>列880</t>
  </si>
  <si>
    <t>列881</t>
  </si>
  <si>
    <t>列882</t>
  </si>
  <si>
    <t>列883</t>
  </si>
  <si>
    <t>列884</t>
  </si>
  <si>
    <t>列885</t>
  </si>
  <si>
    <t>列886</t>
  </si>
  <si>
    <t>列887</t>
  </si>
  <si>
    <t>列888</t>
  </si>
  <si>
    <t>列889</t>
  </si>
  <si>
    <t>列890</t>
  </si>
  <si>
    <t>列891</t>
  </si>
  <si>
    <t>列892</t>
  </si>
  <si>
    <t>列893</t>
  </si>
  <si>
    <t>列894</t>
  </si>
  <si>
    <t>列895</t>
  </si>
  <si>
    <t>列896</t>
  </si>
  <si>
    <t>列897</t>
  </si>
  <si>
    <t>列898</t>
  </si>
  <si>
    <t>列899</t>
  </si>
  <si>
    <t>列900</t>
  </si>
  <si>
    <t>列901</t>
  </si>
  <si>
    <t>列902</t>
  </si>
  <si>
    <t>列903</t>
  </si>
  <si>
    <t>列904</t>
  </si>
  <si>
    <t>列905</t>
  </si>
  <si>
    <t>列906</t>
  </si>
  <si>
    <t>列907</t>
  </si>
  <si>
    <t>列908</t>
  </si>
  <si>
    <t>列909</t>
  </si>
  <si>
    <t>列910</t>
  </si>
  <si>
    <t>列911</t>
  </si>
  <si>
    <t>列912</t>
  </si>
  <si>
    <t>列913</t>
  </si>
  <si>
    <t>列914</t>
  </si>
  <si>
    <t>列915</t>
  </si>
  <si>
    <t>列916</t>
  </si>
  <si>
    <t>列917</t>
  </si>
  <si>
    <t>列918</t>
  </si>
  <si>
    <t>列919</t>
  </si>
  <si>
    <t>列920</t>
  </si>
  <si>
    <t>列921</t>
  </si>
  <si>
    <t>列922</t>
  </si>
  <si>
    <t>列923</t>
  </si>
  <si>
    <t>列924</t>
  </si>
  <si>
    <t>列925</t>
  </si>
  <si>
    <t>列926</t>
  </si>
  <si>
    <t>列927</t>
  </si>
  <si>
    <t>列928</t>
  </si>
  <si>
    <t>列929</t>
  </si>
  <si>
    <t>列930</t>
  </si>
  <si>
    <t>列931</t>
  </si>
  <si>
    <t>列932</t>
  </si>
  <si>
    <t>列933</t>
  </si>
  <si>
    <t>列934</t>
  </si>
  <si>
    <t>列935</t>
  </si>
  <si>
    <t>列936</t>
  </si>
  <si>
    <t>列937</t>
  </si>
  <si>
    <t>列938</t>
  </si>
  <si>
    <t>列939</t>
  </si>
  <si>
    <t>列940</t>
  </si>
  <si>
    <t>列941</t>
  </si>
  <si>
    <t>列942</t>
  </si>
  <si>
    <t>列943</t>
  </si>
  <si>
    <t>列944</t>
  </si>
  <si>
    <t>列945</t>
  </si>
  <si>
    <t>列946</t>
  </si>
  <si>
    <t>列947</t>
  </si>
  <si>
    <t>列948</t>
  </si>
  <si>
    <t>列949</t>
  </si>
  <si>
    <t>列950</t>
  </si>
  <si>
    <t>列951</t>
  </si>
  <si>
    <t>列952</t>
  </si>
  <si>
    <t>列953</t>
  </si>
  <si>
    <t>列954</t>
  </si>
  <si>
    <t>列955</t>
  </si>
  <si>
    <t>列956</t>
  </si>
  <si>
    <t>列957</t>
  </si>
  <si>
    <t>列958</t>
  </si>
  <si>
    <t>列959</t>
  </si>
  <si>
    <t>列960</t>
  </si>
  <si>
    <t>列961</t>
  </si>
  <si>
    <t>列962</t>
  </si>
  <si>
    <t>列963</t>
  </si>
  <si>
    <t>列964</t>
  </si>
  <si>
    <t>列965</t>
  </si>
  <si>
    <t>列966</t>
  </si>
  <si>
    <t>列967</t>
  </si>
  <si>
    <t>列968</t>
  </si>
  <si>
    <t>列969</t>
  </si>
  <si>
    <t>列970</t>
  </si>
  <si>
    <t>列971</t>
  </si>
  <si>
    <t>列972</t>
  </si>
  <si>
    <t>列973</t>
  </si>
  <si>
    <t>列974</t>
  </si>
  <si>
    <t>列975</t>
  </si>
  <si>
    <t>列976</t>
  </si>
  <si>
    <t>列977</t>
  </si>
  <si>
    <t>列978</t>
  </si>
  <si>
    <t>列979</t>
  </si>
  <si>
    <t>列980</t>
  </si>
  <si>
    <t>列981</t>
  </si>
  <si>
    <t>列982</t>
  </si>
  <si>
    <t>列983</t>
  </si>
  <si>
    <t>列984</t>
  </si>
  <si>
    <t>列985</t>
  </si>
  <si>
    <t>列986</t>
  </si>
  <si>
    <t>列987</t>
  </si>
  <si>
    <t>列988</t>
  </si>
  <si>
    <t>列989</t>
  </si>
  <si>
    <t>列990</t>
  </si>
  <si>
    <t>列991</t>
  </si>
  <si>
    <t>列992</t>
  </si>
  <si>
    <t>列993</t>
  </si>
  <si>
    <t>列994</t>
  </si>
  <si>
    <t>列995</t>
  </si>
  <si>
    <t>列996</t>
  </si>
  <si>
    <t>列997</t>
  </si>
  <si>
    <t>列998</t>
  </si>
  <si>
    <t>列999</t>
  </si>
  <si>
    <t>列1000</t>
  </si>
  <si>
    <t>列1001</t>
  </si>
  <si>
    <t>列1002</t>
  </si>
  <si>
    <t>列1003</t>
  </si>
  <si>
    <t>列1004</t>
  </si>
  <si>
    <t>列1005</t>
  </si>
  <si>
    <t>列1006</t>
  </si>
  <si>
    <t>列1007</t>
  </si>
  <si>
    <t>列1008</t>
  </si>
  <si>
    <t>列1009</t>
  </si>
  <si>
    <t>列1010</t>
  </si>
  <si>
    <t>列1011</t>
  </si>
  <si>
    <t>列1012</t>
  </si>
  <si>
    <t>列1013</t>
  </si>
  <si>
    <t>列1014</t>
  </si>
  <si>
    <t>列1015</t>
  </si>
  <si>
    <t>列1016</t>
  </si>
  <si>
    <t>列1017</t>
  </si>
  <si>
    <t>列1018</t>
  </si>
  <si>
    <t>列1019</t>
  </si>
  <si>
    <t>列1020</t>
  </si>
  <si>
    <t>列1021</t>
  </si>
  <si>
    <t>列1022</t>
  </si>
  <si>
    <t>列1023</t>
  </si>
  <si>
    <t>列1024</t>
  </si>
  <si>
    <t>約定日</t>
  </si>
  <si>
    <t>受渡日</t>
  </si>
  <si>
    <t>銘柄コード</t>
  </si>
  <si>
    <t>銘柄名称</t>
  </si>
  <si>
    <t>口座区分</t>
  </si>
  <si>
    <t>市場名称</t>
  </si>
  <si>
    <t>信用区分</t>
  </si>
  <si>
    <t>弁済期限</t>
  </si>
  <si>
    <t>取引</t>
  </si>
  <si>
    <t>売買</t>
  </si>
  <si>
    <t>約定数量</t>
  </si>
  <si>
    <t>約定単価</t>
  </si>
  <si>
    <t>約定代金</t>
  </si>
  <si>
    <t>税区分</t>
  </si>
  <si>
    <t>特別空売り料</t>
  </si>
  <si>
    <t>取得費用 
(G*H+i)</t>
    <phoneticPr fontId="1"/>
  </si>
  <si>
    <t>銘柄
(ネオトレは青路）</t>
    <phoneticPr fontId="1"/>
  </si>
  <si>
    <t>[年月]   '26.02</t>
    <rPh sb="1" eb="3">
      <t>ネンゲツ</t>
    </rPh>
    <phoneticPr fontId="1"/>
  </si>
  <si>
    <t>186A</t>
  </si>
  <si>
    <t>アストロスケールホールディンク</t>
  </si>
  <si>
    <t>特定</t>
    <phoneticPr fontId="1"/>
  </si>
  <si>
    <t>東証</t>
    <phoneticPr fontId="1"/>
  </si>
  <si>
    <t>一般</t>
    <phoneticPr fontId="1"/>
  </si>
  <si>
    <t>1日</t>
    <phoneticPr fontId="1"/>
  </si>
  <si>
    <t>信用返済</t>
    <phoneticPr fontId="1"/>
  </si>
  <si>
    <t>売埋</t>
    <phoneticPr fontId="1"/>
  </si>
  <si>
    <t>源徴あり</t>
    <phoneticPr fontId="1"/>
  </si>
  <si>
    <t>買</t>
    <phoneticPr fontId="1"/>
  </si>
  <si>
    <t>02.02 09:01:53</t>
  </si>
  <si>
    <t>02.02 09:03:24</t>
  </si>
  <si>
    <t>A</t>
    <phoneticPr fontId="1"/>
  </si>
  <si>
    <t>entryはほぼ想定通りの位置。利確指値に刺さってしまった。</t>
    <rPh sb="8" eb="10">
      <t>ソウテイ</t>
    </rPh>
    <rPh sb="10" eb="11">
      <t>ドオ</t>
    </rPh>
    <rPh sb="13" eb="15">
      <t>イチ</t>
    </rPh>
    <rPh sb="16" eb="18">
      <t>リカク</t>
    </rPh>
    <rPh sb="18" eb="20">
      <t>サシネ</t>
    </rPh>
    <rPh sb="21" eb="22">
      <t>サ</t>
    </rPh>
    <phoneticPr fontId="1"/>
  </si>
  <si>
    <t>今日の買い優勢状況から、利確を指値で入れず、節目ブレークまで待って良かった。</t>
    <rPh sb="0" eb="2">
      <t>キョウ</t>
    </rPh>
    <rPh sb="3" eb="4">
      <t>カ</t>
    </rPh>
    <rPh sb="5" eb="7">
      <t>ユウセイ</t>
    </rPh>
    <rPh sb="7" eb="9">
      <t>ジョウキョウ</t>
    </rPh>
    <rPh sb="12" eb="14">
      <t>リカク</t>
    </rPh>
    <rPh sb="15" eb="17">
      <t>サシネ</t>
    </rPh>
    <rPh sb="18" eb="19">
      <t>イ</t>
    </rPh>
    <rPh sb="22" eb="24">
      <t>フシメ</t>
    </rPh>
    <rPh sb="30" eb="31">
      <t>マ</t>
    </rPh>
    <rPh sb="33" eb="34">
      <t>ヨ</t>
    </rPh>
    <phoneticPr fontId="1"/>
  </si>
  <si>
    <t>Y</t>
    <phoneticPr fontId="1"/>
  </si>
  <si>
    <t>[今日の総括]</t>
    <rPh sb="1" eb="3">
      <t>キョウ</t>
    </rPh>
    <rPh sb="4" eb="6">
      <t>ソウカツ</t>
    </rPh>
    <phoneticPr fontId="1"/>
  </si>
  <si>
    <t>先週末NASDAQの暴落をうけ、キオクシア・レーザテックはより前気配から、トレードしないと判断。</t>
    <rPh sb="0" eb="3">
      <t>センシュウマツ</t>
    </rPh>
    <rPh sb="10" eb="12">
      <t>ボウラク</t>
    </rPh>
    <rPh sb="31" eb="32">
      <t>マエ</t>
    </rPh>
    <rPh sb="32" eb="34">
      <t>ケハイ</t>
    </rPh>
    <rPh sb="45" eb="47">
      <t>ハンダン</t>
    </rPh>
    <phoneticPr fontId="1"/>
  </si>
  <si>
    <t>数ヶ月ぶりのトレードでまず勝ちで始めることとして、早々にトレードを修了した。
キオクシアは、特売りからの反発を狙う手もあった事に気づいたが、今日は見送りとした。</t>
    <rPh sb="0" eb="3">
      <t>スウカゲツ</t>
    </rPh>
    <rPh sb="13" eb="14">
      <t>カ</t>
    </rPh>
    <rPh sb="16" eb="17">
      <t>ハジ</t>
    </rPh>
    <rPh sb="25" eb="27">
      <t>ソウソウ</t>
    </rPh>
    <rPh sb="33" eb="35">
      <t>シュウリョウ</t>
    </rPh>
    <rPh sb="46" eb="48">
      <t>トクウ</t>
    </rPh>
    <rPh sb="52" eb="54">
      <t>ハンパツ</t>
    </rPh>
    <rPh sb="55" eb="56">
      <t>ネラ</t>
    </rPh>
    <rPh sb="57" eb="58">
      <t>テ</t>
    </rPh>
    <rPh sb="62" eb="63">
      <t>コト</t>
    </rPh>
    <rPh sb="64" eb="65">
      <t>キ</t>
    </rPh>
    <rPh sb="70" eb="72">
      <t>キョウ</t>
    </rPh>
    <rPh sb="73" eb="75">
      <t>ミオク</t>
    </rPh>
    <phoneticPr fontId="1"/>
  </si>
  <si>
    <t>フジクラ</t>
  </si>
  <si>
    <t>信用新規</t>
    <phoneticPr fontId="1"/>
  </si>
  <si>
    <t>買建</t>
    <phoneticPr fontId="1"/>
  </si>
  <si>
    <t/>
  </si>
  <si>
    <t>285A</t>
  </si>
  <si>
    <t>キオクシアホールディングス</t>
  </si>
  <si>
    <t>02.03 09:09:23</t>
  </si>
  <si>
    <t>02.03 09:09:36</t>
  </si>
  <si>
    <t>02.03 09:11:16</t>
  </si>
  <si>
    <t>02.03 09:12:09</t>
  </si>
  <si>
    <t>B</t>
    <phoneticPr fontId="1"/>
  </si>
  <si>
    <t>B1</t>
    <phoneticPr fontId="1"/>
  </si>
  <si>
    <t>13秒の持ち時間。Exit条件を22,000円と戦略では設定していたが、引け際でこれに到達していた。</t>
    <rPh sb="2" eb="3">
      <t>ビョウ</t>
    </rPh>
    <rPh sb="4" eb="5">
      <t>モ</t>
    </rPh>
    <rPh sb="6" eb="8">
      <t>ジカン</t>
    </rPh>
    <rPh sb="13" eb="15">
      <t>ジョウケン</t>
    </rPh>
    <rPh sb="22" eb="23">
      <t>エン</t>
    </rPh>
    <rPh sb="24" eb="26">
      <t>センリャク</t>
    </rPh>
    <rPh sb="28" eb="30">
      <t>セッテイ</t>
    </rPh>
    <rPh sb="36" eb="37">
      <t>ヒ</t>
    </rPh>
    <rPh sb="38" eb="39">
      <t>ギワ</t>
    </rPh>
    <rPh sb="43" eb="45">
      <t>トウタツ</t>
    </rPh>
    <phoneticPr fontId="1"/>
  </si>
  <si>
    <t>寄り付き直後は、動きが速く、とりあえず設定の売り指し値で返済。超短期で手仕舞い。</t>
    <rPh sb="0" eb="1">
      <t>ヨ</t>
    </rPh>
    <rPh sb="2" eb="3">
      <t>ツ</t>
    </rPh>
    <rPh sb="4" eb="6">
      <t>チョクゴ</t>
    </rPh>
    <rPh sb="8" eb="9">
      <t>ウゴ</t>
    </rPh>
    <rPh sb="11" eb="12">
      <t>ハヤ</t>
    </rPh>
    <rPh sb="19" eb="21">
      <t>セッテイ</t>
    </rPh>
    <rPh sb="22" eb="23">
      <t>ウ</t>
    </rPh>
    <rPh sb="24" eb="25">
      <t>サ</t>
    </rPh>
    <rPh sb="26" eb="27">
      <t>ネ</t>
    </rPh>
    <rPh sb="28" eb="30">
      <t>ヘンサイ</t>
    </rPh>
    <rPh sb="31" eb="34">
      <t>チョウタンキ</t>
    </rPh>
    <rPh sb="35" eb="38">
      <t>テジマ</t>
    </rPh>
    <phoneticPr fontId="1"/>
  </si>
  <si>
    <t>N</t>
    <phoneticPr fontId="1"/>
  </si>
  <si>
    <t>特買寄り付きの押し目でIN。値動き荒く、待てずに直ぐ決済。後場伸びたが、前場だけなので、よしとする。</t>
    <rPh sb="0" eb="2">
      <t>トクガイ</t>
    </rPh>
    <rPh sb="2" eb="3">
      <t>ヨ</t>
    </rPh>
    <rPh sb="4" eb="5">
      <t>ツ</t>
    </rPh>
    <rPh sb="7" eb="8">
      <t>オ</t>
    </rPh>
    <rPh sb="9" eb="10">
      <t>メ</t>
    </rPh>
    <rPh sb="14" eb="16">
      <t>ネウゴ</t>
    </rPh>
    <rPh sb="17" eb="18">
      <t>アラ</t>
    </rPh>
    <rPh sb="20" eb="21">
      <t>マ</t>
    </rPh>
    <rPh sb="24" eb="25">
      <t>ス</t>
    </rPh>
    <rPh sb="26" eb="28">
      <t>ケッサイ</t>
    </rPh>
    <rPh sb="29" eb="31">
      <t>ゴバ</t>
    </rPh>
    <rPh sb="31" eb="32">
      <t>ノ</t>
    </rPh>
    <rPh sb="36" eb="38">
      <t>ゼンバ</t>
    </rPh>
    <phoneticPr fontId="1"/>
  </si>
  <si>
    <t>寄り後のVWAP越えでINするつもりだったが、やや遅れてIN。</t>
    <rPh sb="0" eb="1">
      <t>ヨ</t>
    </rPh>
    <rPh sb="2" eb="3">
      <t>ゴ</t>
    </rPh>
    <rPh sb="8" eb="9">
      <t>ゴ</t>
    </rPh>
    <rPh sb="25" eb="26">
      <t>オク</t>
    </rPh>
    <phoneticPr fontId="1"/>
  </si>
  <si>
    <t>[今日の総括]</t>
  </si>
  <si>
    <t>監視から15分以内で目標利益を達成したので、早々手じまいとした。</t>
    <rPh sb="0" eb="2">
      <t>カンシ</t>
    </rPh>
    <rPh sb="6" eb="7">
      <t>フン</t>
    </rPh>
    <rPh sb="7" eb="9">
      <t>イナイ</t>
    </rPh>
    <rPh sb="10" eb="12">
      <t>モクヒョウ</t>
    </rPh>
    <rPh sb="12" eb="14">
      <t>リエキ</t>
    </rPh>
    <rPh sb="15" eb="17">
      <t>タッセイ</t>
    </rPh>
    <rPh sb="22" eb="24">
      <t>ハヤバヤ</t>
    </rPh>
    <rPh sb="24" eb="25">
      <t>テ</t>
    </rPh>
    <phoneticPr fontId="1"/>
  </si>
  <si>
    <t>後場は基本トレードしない方針なので、満足すべき結果。</t>
    <rPh sb="0" eb="2">
      <t>ゴバ</t>
    </rPh>
    <rPh sb="3" eb="5">
      <t>キホン</t>
    </rPh>
    <rPh sb="12" eb="14">
      <t>ホウシン</t>
    </rPh>
    <rPh sb="18" eb="20">
      <t>マンゾク</t>
    </rPh>
    <rPh sb="23" eb="25">
      <t>ケッカ</t>
    </rPh>
    <phoneticPr fontId="1"/>
  </si>
  <si>
    <t>02.04 09:05:17</t>
  </si>
  <si>
    <t>02.04 09:05:55</t>
  </si>
  <si>
    <t>02.04 09:15:28</t>
  </si>
  <si>
    <t>02.04 09:16:08</t>
  </si>
  <si>
    <t>C</t>
    <phoneticPr fontId="1"/>
  </si>
  <si>
    <t>C1</t>
    <phoneticPr fontId="1"/>
  </si>
  <si>
    <t>押し目からからの反発を待ってIN。値動きの荒さから即時OUT。</t>
    <rPh sb="0" eb="1">
      <t>オ</t>
    </rPh>
    <rPh sb="2" eb="3">
      <t>メ</t>
    </rPh>
    <rPh sb="8" eb="10">
      <t>ハンパツ</t>
    </rPh>
    <rPh sb="11" eb="12">
      <t>マ</t>
    </rPh>
    <rPh sb="17" eb="19">
      <t>ネウゴ</t>
    </rPh>
    <rPh sb="21" eb="22">
      <t>アラ</t>
    </rPh>
    <rPh sb="25" eb="27">
      <t>ソクジ</t>
    </rPh>
    <phoneticPr fontId="1"/>
  </si>
  <si>
    <t>グリップ力の弱さがまた出てしまった。VWAP上だったので利確を我慢すべきだった。その後15分で23,000まで急騰。</t>
    <rPh sb="4" eb="5">
      <t>リョク</t>
    </rPh>
    <rPh sb="6" eb="7">
      <t>ヨワ</t>
    </rPh>
    <rPh sb="11" eb="12">
      <t>デ</t>
    </rPh>
    <rPh sb="22" eb="23">
      <t>ウエ</t>
    </rPh>
    <rPh sb="28" eb="30">
      <t>リカク</t>
    </rPh>
    <rPh sb="31" eb="33">
      <t>ガマン</t>
    </rPh>
    <rPh sb="42" eb="43">
      <t>ゴ</t>
    </rPh>
    <rPh sb="45" eb="46">
      <t>フン</t>
    </rPh>
    <rPh sb="55" eb="57">
      <t>キュウトウ</t>
    </rPh>
    <phoneticPr fontId="1"/>
  </si>
  <si>
    <t>寄り後の急落が大きく、反発を待ってからINしたのはいいが、INが遅すぎ。</t>
    <rPh sb="0" eb="1">
      <t>ヨ</t>
    </rPh>
    <rPh sb="2" eb="3">
      <t>ゴ</t>
    </rPh>
    <rPh sb="4" eb="6">
      <t>キュウラク</t>
    </rPh>
    <rPh sb="7" eb="8">
      <t>オオ</t>
    </rPh>
    <rPh sb="11" eb="13">
      <t>ハンパツ</t>
    </rPh>
    <rPh sb="14" eb="15">
      <t>マ</t>
    </rPh>
    <rPh sb="32" eb="33">
      <t>オソ</t>
    </rPh>
    <phoneticPr fontId="1"/>
  </si>
  <si>
    <t>VWAP越え確認でINすべき。INが遅かったので、ほぼ当日天井でOUT。OUTのタイミングは良かった。</t>
    <rPh sb="18" eb="19">
      <t>オソ</t>
    </rPh>
    <rPh sb="27" eb="29">
      <t>トウジツ</t>
    </rPh>
    <rPh sb="29" eb="31">
      <t>テンジョウ</t>
    </rPh>
    <rPh sb="46" eb="47">
      <t>ヨ</t>
    </rPh>
    <phoneticPr fontId="1"/>
  </si>
  <si>
    <t>まだ、怖さから判断の遅さがある。利益を拡大するには、怖さをどこまで耐えるか。（これで失敗してきたから）</t>
    <rPh sb="3" eb="4">
      <t>コワ</t>
    </rPh>
    <rPh sb="7" eb="9">
      <t>ハンダン</t>
    </rPh>
    <rPh sb="10" eb="11">
      <t>オソ</t>
    </rPh>
    <rPh sb="16" eb="18">
      <t>リエキ</t>
    </rPh>
    <rPh sb="19" eb="21">
      <t>カクダイ</t>
    </rPh>
    <rPh sb="26" eb="27">
      <t>コワ</t>
    </rPh>
    <rPh sb="33" eb="34">
      <t>タ</t>
    </rPh>
    <rPh sb="42" eb="44">
      <t>シッパイ</t>
    </rPh>
    <phoneticPr fontId="1"/>
  </si>
  <si>
    <t>今日も、エンジン始動したばかりの試し運転モード。</t>
    <rPh sb="0" eb="2">
      <t>キョウ</t>
    </rPh>
    <rPh sb="8" eb="10">
      <t>シドウ</t>
    </rPh>
    <rPh sb="16" eb="17">
      <t>タメ</t>
    </rPh>
    <rPh sb="18" eb="20">
      <t>ウンテン</t>
    </rPh>
    <phoneticPr fontId="1"/>
  </si>
  <si>
    <t>02.05 09:01:31</t>
  </si>
  <si>
    <t>02.05 09:02:13</t>
  </si>
  <si>
    <t>D</t>
    <phoneticPr fontId="1"/>
  </si>
  <si>
    <t>02.05 09:09:05</t>
  </si>
  <si>
    <t>02.05 09:10:21</t>
  </si>
  <si>
    <t>サンディスクの急落のニュースからキオクシアのトレードを見送った。特売りからの反発もリスク高いと判断し見送り。</t>
    <rPh sb="7" eb="9">
      <t>キュウラク</t>
    </rPh>
    <rPh sb="27" eb="29">
      <t>ミオク</t>
    </rPh>
    <rPh sb="32" eb="34">
      <t>トクウ</t>
    </rPh>
    <rPh sb="38" eb="40">
      <t>ハンパツ</t>
    </rPh>
    <rPh sb="44" eb="45">
      <t>タカ</t>
    </rPh>
    <rPh sb="47" eb="49">
      <t>ハンダン</t>
    </rPh>
    <rPh sb="50" eb="52">
      <t>ミオク</t>
    </rPh>
    <phoneticPr fontId="1"/>
  </si>
  <si>
    <t>今日の判断は良かったと評価。</t>
    <rPh sb="0" eb="2">
      <t>キョウ</t>
    </rPh>
    <rPh sb="3" eb="5">
      <t>ハンダン</t>
    </rPh>
    <rPh sb="6" eb="7">
      <t>ヨ</t>
    </rPh>
    <rPh sb="11" eb="13">
      <t>ヒョウカ</t>
    </rPh>
    <phoneticPr fontId="1"/>
  </si>
  <si>
    <t>初動の上ひげを上手く獲得できた。その後大きく下落。11時以降の下げはかなりきつかった。</t>
    <rPh sb="0" eb="2">
      <t>ショドウ</t>
    </rPh>
    <rPh sb="3" eb="4">
      <t>ウワ</t>
    </rPh>
    <rPh sb="7" eb="9">
      <t>ウマ</t>
    </rPh>
    <rPh sb="10" eb="12">
      <t>カクトク</t>
    </rPh>
    <rPh sb="18" eb="19">
      <t>アト</t>
    </rPh>
    <rPh sb="19" eb="20">
      <t>オオ</t>
    </rPh>
    <rPh sb="22" eb="24">
      <t>ゲラク</t>
    </rPh>
    <rPh sb="27" eb="28">
      <t>ジ</t>
    </rPh>
    <rPh sb="28" eb="30">
      <t>イコウ</t>
    </rPh>
    <rPh sb="31" eb="32">
      <t>サ</t>
    </rPh>
    <phoneticPr fontId="1"/>
  </si>
  <si>
    <t>早めにトレードを切り上げて正解。</t>
    <rPh sb="0" eb="1">
      <t>ハヤ</t>
    </rPh>
    <rPh sb="8" eb="9">
      <t>キ</t>
    </rPh>
    <rPh sb="10" eb="11">
      <t>ア</t>
    </rPh>
    <rPh sb="13" eb="15">
      <t>セイカイ</t>
    </rPh>
    <phoneticPr fontId="1"/>
  </si>
  <si>
    <t>D1</t>
    <phoneticPr fontId="1"/>
  </si>
  <si>
    <t>02.06 09:02:42</t>
  </si>
  <si>
    <t>02.06 09:07:25</t>
  </si>
  <si>
    <t>E</t>
    <phoneticPr fontId="1"/>
  </si>
  <si>
    <t>明確な根拠なくINしてしまったが、マイナスにならないうちにOUTした。</t>
    <rPh sb="0" eb="2">
      <t>メイカク</t>
    </rPh>
    <rPh sb="3" eb="5">
      <t>コンキョ</t>
    </rPh>
    <phoneticPr fontId="1"/>
  </si>
  <si>
    <t>02.06 10:24:22</t>
  </si>
  <si>
    <t>02.06 10:29:30</t>
  </si>
  <si>
    <t>02.06 10:35:02</t>
  </si>
  <si>
    <t>02.06 10:38:03</t>
  </si>
  <si>
    <t>■来週の改善アクション</t>
  </si>
  <si>
    <t>■心理的な気づき</t>
  </si>
  <si>
    <t>■今週の負けパターン</t>
  </si>
  <si>
    <t>■今週の勝ちパターン</t>
  </si>
  <si>
    <t>W4振り返り</t>
  </si>
  <si>
    <t>W3振り返り</t>
  </si>
  <si>
    <t>W2振り返り</t>
  </si>
  <si>
    <t>月</t>
  </si>
  <si>
    <t>メモ</t>
  </si>
  <si>
    <t>主要銘柄</t>
  </si>
  <si>
    <t>遵守率(%)</t>
  </si>
  <si>
    <t>規律</t>
  </si>
  <si>
    <t>損益</t>
  </si>
  <si>
    <t>勝率(%)</t>
  </si>
  <si>
    <t>敗</t>
  </si>
  <si>
    <t>勝</t>
  </si>
  <si>
    <t>取引数</t>
  </si>
  <si>
    <t>曜日</t>
  </si>
  <si>
    <t>W4</t>
  </si>
  <si>
    <t>W3</t>
  </si>
  <si>
    <t>W2</t>
  </si>
  <si>
    <t>W1</t>
  </si>
  <si>
    <t>平均規律</t>
  </si>
  <si>
    <t>平均損益</t>
  </si>
  <si>
    <t>総損益</t>
  </si>
  <si>
    <t>取引回数</t>
  </si>
  <si>
    <t>終了日</t>
  </si>
  <si>
    <t>開始日</t>
  </si>
  <si>
    <t>週</t>
  </si>
  <si>
    <t>週次・月次レポート</t>
  </si>
  <si>
    <t>【日別推移】※緑セル=自動計算</t>
  </si>
  <si>
    <t>4. 振り返りだけ手入力</t>
  </si>
  <si>
    <t>3. 緑セルが自動更新</t>
  </si>
  <si>
    <t>2. N4セル（月）を入力</t>
  </si>
  <si>
    <t>1. N2セル（年）を入力</t>
  </si>
  <si>
    <t>【使い方】</t>
  </si>
  <si>
    <t>年</t>
  </si>
  <si>
    <t>W5</t>
    <phoneticPr fontId="1"/>
  </si>
  <si>
    <t>規律スコア
(1~5)
5:守った</t>
    <rPh sb="0" eb="2">
      <t>キリツ</t>
    </rPh>
    <rPh sb="13" eb="14">
      <t>マモ</t>
    </rPh>
    <phoneticPr fontId="1"/>
  </si>
  <si>
    <t>E1</t>
    <phoneticPr fontId="1"/>
  </si>
  <si>
    <t>E2</t>
    <phoneticPr fontId="1"/>
  </si>
  <si>
    <t>VWAPタッチ後反発し、出来高増加傾向が始まっていた事を感知できなかった。</t>
    <rPh sb="7" eb="8">
      <t>ゴ</t>
    </rPh>
    <rPh sb="8" eb="10">
      <t>ハンパツ</t>
    </rPh>
    <rPh sb="12" eb="15">
      <t>デキダカ</t>
    </rPh>
    <rPh sb="15" eb="17">
      <t>ゾウカ</t>
    </rPh>
    <rPh sb="17" eb="19">
      <t>ケイコウ</t>
    </rPh>
    <rPh sb="20" eb="21">
      <t>ハジ</t>
    </rPh>
    <rPh sb="26" eb="27">
      <t>コト</t>
    </rPh>
    <rPh sb="28" eb="30">
      <t>カンチ</t>
    </rPh>
    <phoneticPr fontId="1"/>
  </si>
  <si>
    <t>利確後前場引けまで急騰。この兆しを感じていたらと後悔。
（＋6万取れたかと思うと悔しい）</t>
    <rPh sb="0" eb="2">
      <t>リカク</t>
    </rPh>
    <rPh sb="2" eb="3">
      <t>ゴ</t>
    </rPh>
    <rPh sb="3" eb="5">
      <t>ゼンバ</t>
    </rPh>
    <rPh sb="5" eb="6">
      <t>ヒ</t>
    </rPh>
    <rPh sb="9" eb="11">
      <t>キュウトウ</t>
    </rPh>
    <rPh sb="14" eb="15">
      <t>キザ</t>
    </rPh>
    <rPh sb="17" eb="18">
      <t>カン</t>
    </rPh>
    <rPh sb="24" eb="26">
      <t>コウカイ</t>
    </rPh>
    <rPh sb="31" eb="32">
      <t>マン</t>
    </rPh>
    <rPh sb="32" eb="33">
      <t>ト</t>
    </rPh>
    <rPh sb="37" eb="38">
      <t>オモ</t>
    </rPh>
    <rPh sb="40" eb="41">
      <t>クヤ</t>
    </rPh>
    <phoneticPr fontId="1"/>
  </si>
  <si>
    <t>y</t>
    <phoneticPr fontId="1"/>
  </si>
  <si>
    <t>W5振り返り</t>
    <phoneticPr fontId="1"/>
  </si>
  <si>
    <t>W1振り返り</t>
    <phoneticPr fontId="1"/>
  </si>
  <si>
    <t>取引対象
or [今日の総括]</t>
    <phoneticPr fontId="1"/>
  </si>
  <si>
    <r>
      <t xml:space="preserve">振り返り
</t>
    </r>
    <r>
      <rPr>
        <sz val="9"/>
        <color theme="3"/>
        <rFont val="Meiryo UI"/>
        <family val="3"/>
        <charset val="128"/>
      </rPr>
      <t>【WhyIN】/【WhyOUT】：Entry/Exitの理由・背景等（IF/THEN形式で）
【Ev＆Rev】：自己評価○△×＆振り返り</t>
    </r>
    <rPh sb="0" eb="1">
      <t>フ</t>
    </rPh>
    <rPh sb="2" eb="3">
      <t>カエ</t>
    </rPh>
    <rPh sb="33" eb="35">
      <t>リユウ</t>
    </rPh>
    <rPh sb="36" eb="38">
      <t>ハイケイ</t>
    </rPh>
    <rPh sb="38" eb="39">
      <t>ナド</t>
    </rPh>
    <rPh sb="47" eb="49">
      <t>ケイシキ</t>
    </rPh>
    <rPh sb="61" eb="63">
      <t>ジコ</t>
    </rPh>
    <rPh sb="63" eb="65">
      <t>ヒョウカ</t>
    </rPh>
    <rPh sb="69" eb="70">
      <t>フ</t>
    </rPh>
    <rPh sb="71" eb="72">
      <t>カエ</t>
    </rPh>
    <phoneticPr fontId="1"/>
  </si>
  <si>
    <t>3回連続VWAPサポート成功。下値切り上がり。
明確な上昇トレンド継続中だったが、早期決済で大きな上昇を逃した。</t>
    <phoneticPr fontId="1"/>
  </si>
  <si>
    <t>【新ルール】
VWAP上で2回以上サポートされた場合：
1. 最低15分ホールド
2. 前回高値更新を確認
3. VWAP明確に割るまで保有
4. 焦って決済しない
【例外】
- 急激な出来高減少
- VWAPを大きく割る
- 前回高値で明確な抵抗✓ 前回高値更新まで待つ忍耐力</t>
    <phoneticPr fontId="1"/>
  </si>
  <si>
    <t>今週は負けないことを優先したため、負けはなし。</t>
    <rPh sb="0" eb="2">
      <t>コンシュウ</t>
    </rPh>
    <rPh sb="3" eb="4">
      <t>マ</t>
    </rPh>
    <rPh sb="10" eb="12">
      <t>ユウセン</t>
    </rPh>
    <rPh sb="17" eb="18">
      <t>マ</t>
    </rPh>
    <phoneticPr fontId="1"/>
  </si>
  <si>
    <t>怖さから、利確を急ぎすぎた。</t>
    <rPh sb="0" eb="1">
      <t>コワ</t>
    </rPh>
    <rPh sb="5" eb="7">
      <t>リカク</t>
    </rPh>
    <rPh sb="8" eb="9">
      <t>イソ</t>
    </rPh>
    <phoneticPr fontId="1"/>
  </si>
  <si>
    <t>VWAP上での15分ホールド」ルールを守り、利益を伸ばす。</t>
    <rPh sb="19" eb="20">
      <t>マモ</t>
    </rPh>
    <rPh sb="22" eb="24">
      <t>リエキ</t>
    </rPh>
    <rPh sb="25" eb="26">
      <t>ノ</t>
    </rPh>
    <phoneticPr fontId="1"/>
  </si>
  <si>
    <t>02.09 09:11:57</t>
  </si>
  <si>
    <t>02.09 09:15:34</t>
  </si>
  <si>
    <t>JAX</t>
    <phoneticPr fontId="1"/>
  </si>
  <si>
    <t>02.09 10:57:11</t>
  </si>
  <si>
    <t>02.09 11:02:32</t>
  </si>
  <si>
    <t>F</t>
    <phoneticPr fontId="1"/>
  </si>
  <si>
    <t>F1</t>
    <phoneticPr fontId="1"/>
  </si>
  <si>
    <t xml:space="preserve">【WhyIN】選挙後の特買一色で、大GU後押しから上昇転換でVWAP上を確認しIN。
【WhyOUT】また、早めのOUT。15分保持ルールがよぎったが、持ちきれずOUT。
【Ev＆Rev】△：INは良かったが、OUTは、判っていてもルール破りで、最小の利益でおわる。
</t>
    <rPh sb="7" eb="10">
      <t>センキョゴ</t>
    </rPh>
    <rPh sb="11" eb="12">
      <t>トク</t>
    </rPh>
    <rPh sb="12" eb="13">
      <t>バイ</t>
    </rPh>
    <rPh sb="13" eb="15">
      <t>イッショク</t>
    </rPh>
    <rPh sb="17" eb="18">
      <t>ダイ</t>
    </rPh>
    <rPh sb="20" eb="21">
      <t>ゴ</t>
    </rPh>
    <rPh sb="21" eb="22">
      <t>オ</t>
    </rPh>
    <rPh sb="25" eb="27">
      <t>ジョウショウ</t>
    </rPh>
    <rPh sb="27" eb="29">
      <t>テンカン</t>
    </rPh>
    <rPh sb="34" eb="35">
      <t>ジョウ</t>
    </rPh>
    <rPh sb="36" eb="38">
      <t>カクニン</t>
    </rPh>
    <rPh sb="54" eb="55">
      <t>ハヤ</t>
    </rPh>
    <rPh sb="63" eb="64">
      <t>フン</t>
    </rPh>
    <rPh sb="64" eb="66">
      <t>ホジ</t>
    </rPh>
    <rPh sb="76" eb="77">
      <t>モ</t>
    </rPh>
    <rPh sb="99" eb="100">
      <t>ヨ</t>
    </rPh>
    <rPh sb="110" eb="111">
      <t>ワカ</t>
    </rPh>
    <rPh sb="119" eb="120">
      <t>ヤブ</t>
    </rPh>
    <rPh sb="123" eb="125">
      <t>サイショウ</t>
    </rPh>
    <rPh sb="126" eb="128">
      <t>リエキ</t>
    </rPh>
    <phoneticPr fontId="1"/>
  </si>
  <si>
    <t>【WhyIN】VWAP近くまで下落反発でIN。
【WhyOUT】BOX状態と認識し、BOXの上の売り指し値でOUT。
【Ev＆Rev】○：IN/OUTとも想定通り。</t>
    <rPh sb="11" eb="12">
      <t>チカ</t>
    </rPh>
    <rPh sb="15" eb="17">
      <t>ゲラク</t>
    </rPh>
    <rPh sb="17" eb="19">
      <t>ハンパツ</t>
    </rPh>
    <rPh sb="35" eb="37">
      <t>ジョウタイ</t>
    </rPh>
    <rPh sb="38" eb="40">
      <t>ニンシキ</t>
    </rPh>
    <rPh sb="46" eb="47">
      <t>ウエ</t>
    </rPh>
    <rPh sb="48" eb="49">
      <t>ウ</t>
    </rPh>
    <rPh sb="50" eb="51">
      <t>サ</t>
    </rPh>
    <rPh sb="52" eb="53">
      <t>ネ</t>
    </rPh>
    <rPh sb="77" eb="79">
      <t>ソウテイ</t>
    </rPh>
    <rPh sb="79" eb="80">
      <t>ドオ</t>
    </rPh>
    <phoneticPr fontId="1"/>
  </si>
  <si>
    <t xml:space="preserve">本日は決算発表が14時頃予定であることを調べていたので、前場で終えなければと考えていた。14時に急落。
明日の値動きをPTS等から予想しておくこと。
</t>
    <rPh sb="0" eb="2">
      <t>ホンジツ</t>
    </rPh>
    <rPh sb="3" eb="5">
      <t>ケッサン</t>
    </rPh>
    <rPh sb="5" eb="7">
      <t>ハッピョウ</t>
    </rPh>
    <rPh sb="10" eb="12">
      <t>ジゴロ</t>
    </rPh>
    <rPh sb="12" eb="14">
      <t>ヨテイ</t>
    </rPh>
    <rPh sb="20" eb="21">
      <t>シラ</t>
    </rPh>
    <rPh sb="28" eb="30">
      <t>ゼンバ</t>
    </rPh>
    <rPh sb="31" eb="32">
      <t>オ</t>
    </rPh>
    <rPh sb="38" eb="39">
      <t>カンガ</t>
    </rPh>
    <rPh sb="46" eb="47">
      <t>ジ</t>
    </rPh>
    <rPh sb="48" eb="50">
      <t>キュウラク</t>
    </rPh>
    <rPh sb="52" eb="54">
      <t>アス</t>
    </rPh>
    <rPh sb="55" eb="57">
      <t>ネウゴ</t>
    </rPh>
    <rPh sb="62" eb="63">
      <t>ナド</t>
    </rPh>
    <rPh sb="65" eb="67">
      <t>ヨソウ</t>
    </rPh>
    <phoneticPr fontId="1"/>
  </si>
  <si>
    <t>[今日の総括]</t>
    <phoneticPr fontId="1"/>
  </si>
  <si>
    <t>1回目のトレードでは、前日と同じ事を繰り返してしまい、取れる利益をまたも逃した。</t>
    <rPh sb="1" eb="3">
      <t>カイメ</t>
    </rPh>
    <rPh sb="11" eb="13">
      <t>ゼンジツ</t>
    </rPh>
    <rPh sb="14" eb="15">
      <t>オナ</t>
    </rPh>
    <rPh sb="16" eb="17">
      <t>コト</t>
    </rPh>
    <rPh sb="18" eb="19">
      <t>ク</t>
    </rPh>
    <rPh sb="20" eb="21">
      <t>カエ</t>
    </rPh>
    <rPh sb="27" eb="28">
      <t>ト</t>
    </rPh>
    <rPh sb="30" eb="32">
      <t>リエキ</t>
    </rPh>
    <rPh sb="36" eb="37">
      <t>ノガ</t>
    </rPh>
    <phoneticPr fontId="1"/>
  </si>
  <si>
    <t>またしても、チキンOUTで、15分待ちのルール守れず。
VWAP上にあること、出来高そこそこ、の条件からグリップ力強化の必要性を今日も痛感。
Geminiの提案である出口条件の変更「「価格」で出るのではなく、5分足移動平均線を明確に陰線で割り込むまで」という形（Time or Structure Exit）に切り替える」も採用する。</t>
    <rPh sb="16" eb="17">
      <t>フン</t>
    </rPh>
    <rPh sb="17" eb="18">
      <t>マ</t>
    </rPh>
    <rPh sb="23" eb="24">
      <t>マモ</t>
    </rPh>
    <rPh sb="32" eb="33">
      <t>ウエ</t>
    </rPh>
    <rPh sb="39" eb="42">
      <t>デキダカ</t>
    </rPh>
    <rPh sb="48" eb="50">
      <t>ジョウケン</t>
    </rPh>
    <rPh sb="56" eb="57">
      <t>リョク</t>
    </rPh>
    <rPh sb="57" eb="59">
      <t>キョウカ</t>
    </rPh>
    <rPh sb="60" eb="63">
      <t>ヒツヨウセイ</t>
    </rPh>
    <rPh sb="64" eb="66">
      <t>キョウ</t>
    </rPh>
    <rPh sb="67" eb="69">
      <t>ツウカン</t>
    </rPh>
    <rPh sb="162" eb="164">
      <t>サイヨウ</t>
    </rPh>
    <phoneticPr fontId="1"/>
  </si>
  <si>
    <t>新ルールの（15分待ちのルール）は意識していたが、またも早々の微小利益でのOUTをしてしまった。
恐怖心にどう打ち勝って、耐えきることが出来るのか。</t>
    <rPh sb="0" eb="1">
      <t>シン</t>
    </rPh>
    <rPh sb="8" eb="9">
      <t>フン</t>
    </rPh>
    <rPh sb="9" eb="10">
      <t>マ</t>
    </rPh>
    <rPh sb="17" eb="19">
      <t>イシキ</t>
    </rPh>
    <rPh sb="28" eb="30">
      <t>ソウソウ</t>
    </rPh>
    <rPh sb="31" eb="33">
      <t>ビショウ</t>
    </rPh>
    <rPh sb="33" eb="35">
      <t>リエキ</t>
    </rPh>
    <rPh sb="49" eb="52">
      <t>キョウフシン</t>
    </rPh>
    <rPh sb="55" eb="56">
      <t>ウ</t>
    </rPh>
    <rPh sb="57" eb="58">
      <t>カ</t>
    </rPh>
    <rPh sb="61" eb="62">
      <t>タ</t>
    </rPh>
    <rPh sb="68" eb="70">
      <t>デキ</t>
    </rPh>
    <phoneticPr fontId="1"/>
  </si>
  <si>
    <t>n</t>
    <phoneticPr fontId="1"/>
  </si>
  <si>
    <t>02.10 09:08:50</t>
  </si>
  <si>
    <t>02.10 09:10:03</t>
  </si>
  <si>
    <t>02.10 10:29:25</t>
  </si>
  <si>
    <t>02.10 10:33:41</t>
  </si>
  <si>
    <t>02.10 10:34:05</t>
  </si>
  <si>
    <t>02.10 10:38:44</t>
  </si>
  <si>
    <t>02.10 10:51:08</t>
  </si>
  <si>
    <t>02.10 10:51:32</t>
  </si>
  <si>
    <t>指値変更間に合わず</t>
    <rPh sb="0" eb="2">
      <t>サシネ</t>
    </rPh>
    <rPh sb="2" eb="4">
      <t>ヘンコウ</t>
    </rPh>
    <rPh sb="4" eb="5">
      <t>マ</t>
    </rPh>
    <rPh sb="6" eb="7">
      <t>ア</t>
    </rPh>
    <phoneticPr fontId="1"/>
  </si>
  <si>
    <t>G</t>
    <phoneticPr fontId="1"/>
  </si>
  <si>
    <t>G1</t>
    <phoneticPr fontId="1"/>
  </si>
  <si>
    <t>G2</t>
    <phoneticPr fontId="1"/>
  </si>
  <si>
    <t>G3</t>
    <phoneticPr fontId="1"/>
  </si>
  <si>
    <t>【WhyIN】特買で始まり、初押し後のVWAP越でIN。
【WhyOUT】下に連れて行かれる恐怖にめげず、上に跳ねた所でOUT。15分ルール破りが正解だった。
【Ev＆Rev】○：INは満点評価。OUTも結果からして満足。</t>
    <rPh sb="7" eb="9">
      <t>トクガイ</t>
    </rPh>
    <rPh sb="10" eb="11">
      <t>ハジ</t>
    </rPh>
    <rPh sb="14" eb="16">
      <t>ハツオ</t>
    </rPh>
    <rPh sb="17" eb="18">
      <t>ゴ</t>
    </rPh>
    <rPh sb="23" eb="24">
      <t>コエ</t>
    </rPh>
    <rPh sb="37" eb="38">
      <t>シタ</t>
    </rPh>
    <rPh sb="39" eb="40">
      <t>ツ</t>
    </rPh>
    <rPh sb="42" eb="43">
      <t>イ</t>
    </rPh>
    <rPh sb="46" eb="48">
      <t>キョウフ</t>
    </rPh>
    <rPh sb="53" eb="54">
      <t>ウエ</t>
    </rPh>
    <rPh sb="55" eb="56">
      <t>ハ</t>
    </rPh>
    <rPh sb="58" eb="59">
      <t>トコロ</t>
    </rPh>
    <rPh sb="66" eb="67">
      <t>フン</t>
    </rPh>
    <rPh sb="70" eb="71">
      <t>ヤブ</t>
    </rPh>
    <rPh sb="73" eb="75">
      <t>セイカイ</t>
    </rPh>
    <rPh sb="93" eb="95">
      <t>マンテン</t>
    </rPh>
    <rPh sb="95" eb="97">
      <t>ヒョウカ</t>
    </rPh>
    <rPh sb="102" eb="104">
      <t>ケッカ</t>
    </rPh>
    <rPh sb="108" eb="110">
      <t>マンゾク</t>
    </rPh>
    <phoneticPr fontId="1"/>
  </si>
  <si>
    <t>OUTは15分待ちのルールは守らなかったが、利益の面では満足すべき結果となった。
値動きから、ピークアウトが近いと推測していたので、撤退を想定すべきと考えているときに、吹き上がりがあり、
そこで利確した。ルール至上主義ではなく、臨機応変の対応等も時により大切。</t>
    <rPh sb="6" eb="8">
      <t>フンマ</t>
    </rPh>
    <rPh sb="14" eb="15">
      <t>マモ</t>
    </rPh>
    <rPh sb="22" eb="24">
      <t>リエキ</t>
    </rPh>
    <rPh sb="25" eb="26">
      <t>メン</t>
    </rPh>
    <rPh sb="28" eb="30">
      <t>マンゾク</t>
    </rPh>
    <rPh sb="33" eb="35">
      <t>ケッカ</t>
    </rPh>
    <rPh sb="41" eb="43">
      <t>ネウゴ</t>
    </rPh>
    <rPh sb="54" eb="55">
      <t>チカ</t>
    </rPh>
    <rPh sb="57" eb="59">
      <t>スイソク</t>
    </rPh>
    <rPh sb="66" eb="68">
      <t>テッタイ</t>
    </rPh>
    <rPh sb="69" eb="71">
      <t>ソウテイ</t>
    </rPh>
    <rPh sb="75" eb="76">
      <t>カンガ</t>
    </rPh>
    <rPh sb="84" eb="85">
      <t>フ</t>
    </rPh>
    <rPh sb="86" eb="87">
      <t>ア</t>
    </rPh>
    <rPh sb="97" eb="99">
      <t>リカク</t>
    </rPh>
    <rPh sb="105" eb="107">
      <t>シジョウ</t>
    </rPh>
    <rPh sb="107" eb="109">
      <t>シュギ</t>
    </rPh>
    <rPh sb="114" eb="118">
      <t>リンキオウヘン</t>
    </rPh>
    <rPh sb="119" eb="121">
      <t>タイオウ</t>
    </rPh>
    <rPh sb="121" eb="122">
      <t>トウ</t>
    </rPh>
    <rPh sb="123" eb="124">
      <t>トキ</t>
    </rPh>
    <rPh sb="127" eb="129">
      <t>タイセツ</t>
    </rPh>
    <phoneticPr fontId="1"/>
  </si>
  <si>
    <t>【WhyIN】上昇トレンド開始かとINしたが、横横の後に下落。
【WhyOUT】下に連れて行かれた時、売り指値を設定した。上昇始まった時に指値を上に変更しようとしたが、
上昇速度に間に合わず、指値に刺さり、不本意な決済となった。
【Ev＆Rev】×：INもOUTも失敗。大きな損失にならなかったのが、不幸中の幸い。</t>
    <rPh sb="7" eb="9">
      <t>ジョウショウ</t>
    </rPh>
    <rPh sb="13" eb="15">
      <t>カイシ</t>
    </rPh>
    <rPh sb="23" eb="24">
      <t>ヨコ</t>
    </rPh>
    <rPh sb="24" eb="25">
      <t>ヨコ</t>
    </rPh>
    <rPh sb="26" eb="27">
      <t>アト</t>
    </rPh>
    <rPh sb="28" eb="30">
      <t>ゲラク</t>
    </rPh>
    <rPh sb="49" eb="50">
      <t>トキ</t>
    </rPh>
    <rPh sb="51" eb="52">
      <t>ウ</t>
    </rPh>
    <rPh sb="53" eb="55">
      <t>サシネ</t>
    </rPh>
    <rPh sb="56" eb="58">
      <t>セッテイ</t>
    </rPh>
    <rPh sb="61" eb="63">
      <t>ジョウショウ</t>
    </rPh>
    <rPh sb="63" eb="64">
      <t>ハジ</t>
    </rPh>
    <rPh sb="67" eb="68">
      <t>トキ</t>
    </rPh>
    <rPh sb="69" eb="71">
      <t>サシネ</t>
    </rPh>
    <rPh sb="72" eb="73">
      <t>ウエ</t>
    </rPh>
    <rPh sb="74" eb="76">
      <t>ヘンコウ</t>
    </rPh>
    <rPh sb="85" eb="87">
      <t>ジョウショウ</t>
    </rPh>
    <rPh sb="87" eb="89">
      <t>ソクド</t>
    </rPh>
    <rPh sb="90" eb="91">
      <t>マ</t>
    </rPh>
    <rPh sb="92" eb="93">
      <t>ア</t>
    </rPh>
    <rPh sb="96" eb="98">
      <t>サシネ</t>
    </rPh>
    <rPh sb="99" eb="100">
      <t>サ</t>
    </rPh>
    <rPh sb="103" eb="106">
      <t>フホンイ</t>
    </rPh>
    <rPh sb="107" eb="109">
      <t>ケッサイ</t>
    </rPh>
    <rPh sb="132" eb="134">
      <t>シッパイ</t>
    </rPh>
    <rPh sb="135" eb="136">
      <t>オオ</t>
    </rPh>
    <rPh sb="138" eb="140">
      <t>ソンシツ</t>
    </rPh>
    <rPh sb="150" eb="153">
      <t>フコウチュウ</t>
    </rPh>
    <rPh sb="154" eb="155">
      <t>サイワ</t>
    </rPh>
    <phoneticPr fontId="1"/>
  </si>
  <si>
    <t>【WhyIN】直近の損失挽回の為、根拠のないINをした。
【WhyOUT】欲張らず、プラスでOUT。
【Ev＆Rev】○：スキャルピングを目論んでいたので、良しとする。</t>
    <rPh sb="7" eb="9">
      <t>チョッキン</t>
    </rPh>
    <rPh sb="10" eb="12">
      <t>ソンシツ</t>
    </rPh>
    <rPh sb="12" eb="14">
      <t>バンカイ</t>
    </rPh>
    <rPh sb="15" eb="16">
      <t>タメ</t>
    </rPh>
    <rPh sb="17" eb="19">
      <t>コンキョ</t>
    </rPh>
    <rPh sb="37" eb="39">
      <t>ヨクバ</t>
    </rPh>
    <rPh sb="69" eb="71">
      <t>モクロ</t>
    </rPh>
    <rPh sb="78" eb="79">
      <t>ヨ</t>
    </rPh>
    <phoneticPr fontId="1"/>
  </si>
  <si>
    <t>【WhyIN】直上昇トレンドに転換確認後IN。
【WhyOUT】欲張らず、プラスでOUT。
【Ev＆Rev】○：スキャルピングを目論んでいたので、良しとする。</t>
    <rPh sb="8" eb="10">
      <t>ジョウショウ</t>
    </rPh>
    <rPh sb="15" eb="17">
      <t>テンカン</t>
    </rPh>
    <rPh sb="17" eb="19">
      <t>カクニン</t>
    </rPh>
    <rPh sb="19" eb="20">
      <t>ゴ</t>
    </rPh>
    <rPh sb="73" eb="74">
      <t>ヨ</t>
    </rPh>
    <phoneticPr fontId="1"/>
  </si>
  <si>
    <t>1回のトレードで久しぶりに3万取れた。2回目以降はしなくていいトレードだった。</t>
    <rPh sb="1" eb="2">
      <t>カイ</t>
    </rPh>
    <rPh sb="8" eb="9">
      <t>ヒサ</t>
    </rPh>
    <rPh sb="14" eb="15">
      <t>マン</t>
    </rPh>
    <rPh sb="15" eb="16">
      <t>ト</t>
    </rPh>
    <rPh sb="20" eb="22">
      <t>カイメ</t>
    </rPh>
    <rPh sb="22" eb="24">
      <t>イコウ</t>
    </rPh>
    <phoneticPr fontId="1"/>
  </si>
  <si>
    <t>1回目のトレードの利益は確保できたのは良かったが、根拠のないINは慎むこと。</t>
    <rPh sb="1" eb="3">
      <t>カイメ</t>
    </rPh>
    <rPh sb="9" eb="11">
      <t>リエキ</t>
    </rPh>
    <rPh sb="12" eb="14">
      <t>カクホ</t>
    </rPh>
    <rPh sb="19" eb="20">
      <t>ヨ</t>
    </rPh>
    <rPh sb="25" eb="27">
      <t>コンキョ</t>
    </rPh>
    <rPh sb="33" eb="34">
      <t>ツツシ</t>
    </rPh>
    <phoneticPr fontId="1"/>
  </si>
  <si>
    <t>古河電工</t>
  </si>
  <si>
    <t>住友鉱山</t>
  </si>
  <si>
    <t>02.12 09:03:36</t>
  </si>
  <si>
    <t>02.12 09:08:08</t>
  </si>
  <si>
    <t>02.12 09:11:59</t>
  </si>
  <si>
    <t>02.12 09:23:23</t>
  </si>
  <si>
    <t>H</t>
    <phoneticPr fontId="1"/>
  </si>
  <si>
    <t>フジクラに入ろうと寄りのチェック前には考えていたが、レポートで危険信号の通知があり、
この銘柄に変更した。結果正解だった。このトレードは15分ルール順守すべきだった。12分で、23,000まで急騰。</t>
    <rPh sb="5" eb="6">
      <t>ハイ</t>
    </rPh>
    <rPh sb="9" eb="10">
      <t>ヨ</t>
    </rPh>
    <rPh sb="16" eb="17">
      <t>マエ</t>
    </rPh>
    <rPh sb="19" eb="20">
      <t>カンガ</t>
    </rPh>
    <rPh sb="31" eb="35">
      <t>キケンシンゴウ</t>
    </rPh>
    <rPh sb="36" eb="38">
      <t>ツウチ</t>
    </rPh>
    <rPh sb="45" eb="47">
      <t>メイガラ</t>
    </rPh>
    <rPh sb="48" eb="50">
      <t>ヘンコウ</t>
    </rPh>
    <rPh sb="53" eb="57">
      <t>ケッカセイカイ</t>
    </rPh>
    <rPh sb="85" eb="86">
      <t>フン</t>
    </rPh>
    <rPh sb="96" eb="98">
      <t>キュウトウ</t>
    </rPh>
    <phoneticPr fontId="1"/>
  </si>
  <si>
    <t>【WhyIN】寄り直後値動きの激しい中、VWAP越え直後下でIN。
【WhyOUT】下に連れて行かれたが、我慢しVWAP上昇でOUT。その後急騰。
【Ev＆Rev】△：INは早かった。明確にVWAPを超えてからにすべき。OUTも早すぎた。VWAP超えた時の安心から利確。</t>
    <rPh sb="7" eb="8">
      <t>ヨ</t>
    </rPh>
    <rPh sb="9" eb="11">
      <t>チョクゴ</t>
    </rPh>
    <rPh sb="11" eb="13">
      <t>ネウゴ</t>
    </rPh>
    <rPh sb="15" eb="16">
      <t>ハゲ</t>
    </rPh>
    <rPh sb="18" eb="19">
      <t>ナカ</t>
    </rPh>
    <rPh sb="24" eb="25">
      <t>ゴ</t>
    </rPh>
    <rPh sb="26" eb="28">
      <t>チョクゴ</t>
    </rPh>
    <rPh sb="28" eb="29">
      <t>シタ</t>
    </rPh>
    <rPh sb="53" eb="55">
      <t>ガマン</t>
    </rPh>
    <rPh sb="60" eb="62">
      <t>ジョウショウ</t>
    </rPh>
    <rPh sb="69" eb="70">
      <t>ゴ</t>
    </rPh>
    <rPh sb="70" eb="72">
      <t>キュウトウ</t>
    </rPh>
    <rPh sb="87" eb="88">
      <t>ハヤ</t>
    </rPh>
    <rPh sb="92" eb="94">
      <t>メイカク</t>
    </rPh>
    <rPh sb="100" eb="101">
      <t>コ</t>
    </rPh>
    <rPh sb="114" eb="115">
      <t>ハヤ</t>
    </rPh>
    <rPh sb="123" eb="124">
      <t>コ</t>
    </rPh>
    <rPh sb="126" eb="127">
      <t>トキ</t>
    </rPh>
    <rPh sb="128" eb="130">
      <t>アンシン</t>
    </rPh>
    <rPh sb="132" eb="134">
      <t>リカク</t>
    </rPh>
    <phoneticPr fontId="1"/>
  </si>
  <si>
    <t>H1</t>
    <phoneticPr fontId="1"/>
  </si>
  <si>
    <t>【WhyIN】寄り前気配からこの銘柄選定。上昇気運と見て、IN。
【WhyOUT】下に連れて行かれたが、我慢し買値を超えた時点で決済。その後急騰。
【Ev＆Rev】✖：INのタイミングが中途半端。VWAPタッチ後反発でINすべき。または、寄り直後のVWAP越えの時点。OUTも早すぎた。</t>
    <rPh sb="7" eb="8">
      <t>ヨ</t>
    </rPh>
    <rPh sb="9" eb="12">
      <t>マエケハイ</t>
    </rPh>
    <rPh sb="16" eb="18">
      <t>メイガラ</t>
    </rPh>
    <rPh sb="18" eb="20">
      <t>センテイ</t>
    </rPh>
    <rPh sb="21" eb="23">
      <t>ジョウショウ</t>
    </rPh>
    <rPh sb="23" eb="25">
      <t>キウン</t>
    </rPh>
    <rPh sb="26" eb="27">
      <t>ミ</t>
    </rPh>
    <rPh sb="55" eb="57">
      <t>カイネ</t>
    </rPh>
    <rPh sb="58" eb="59">
      <t>コ</t>
    </rPh>
    <rPh sb="61" eb="63">
      <t>ジテン</t>
    </rPh>
    <rPh sb="64" eb="66">
      <t>ケッサイ</t>
    </rPh>
    <rPh sb="93" eb="97">
      <t>チュウトハンパ</t>
    </rPh>
    <rPh sb="105" eb="106">
      <t>ゴ</t>
    </rPh>
    <rPh sb="106" eb="108">
      <t>ハンパツ</t>
    </rPh>
    <rPh sb="119" eb="120">
      <t>ヨ</t>
    </rPh>
    <rPh sb="121" eb="123">
      <t>チョクゴ</t>
    </rPh>
    <rPh sb="128" eb="129">
      <t>ゴ</t>
    </rPh>
    <rPh sb="131" eb="133">
      <t>ジテン</t>
    </rPh>
    <phoneticPr fontId="1"/>
  </si>
  <si>
    <t>IN後下落し、VWAPで反発し、損切も考えたが、今日の有望銘柄であったので、辛抱強く、戻りまで待った。
買値まで戻した安心感から早めに決裁したが、15分待つべきだった。理想のIN/OUTであればと悔やまれる。</t>
    <rPh sb="2" eb="3">
      <t>ゴ</t>
    </rPh>
    <rPh sb="3" eb="5">
      <t>ゲラク</t>
    </rPh>
    <rPh sb="12" eb="14">
      <t>ハンパツ</t>
    </rPh>
    <rPh sb="16" eb="18">
      <t>ソンギリ</t>
    </rPh>
    <rPh sb="19" eb="20">
      <t>カンガ</t>
    </rPh>
    <rPh sb="24" eb="26">
      <t>キョウ</t>
    </rPh>
    <rPh sb="27" eb="31">
      <t>ユウボウメイガラ</t>
    </rPh>
    <rPh sb="38" eb="41">
      <t>シンボウヅヨ</t>
    </rPh>
    <rPh sb="43" eb="44">
      <t>モド</t>
    </rPh>
    <rPh sb="47" eb="48">
      <t>マ</t>
    </rPh>
    <rPh sb="52" eb="54">
      <t>カイネ</t>
    </rPh>
    <rPh sb="56" eb="57">
      <t>モド</t>
    </rPh>
    <rPh sb="59" eb="62">
      <t>アンシンカン</t>
    </rPh>
    <rPh sb="64" eb="65">
      <t>ハヤ</t>
    </rPh>
    <rPh sb="67" eb="69">
      <t>ケッサイ</t>
    </rPh>
    <rPh sb="75" eb="76">
      <t>フン</t>
    </rPh>
    <rPh sb="76" eb="77">
      <t>マ</t>
    </rPh>
    <rPh sb="84" eb="86">
      <t>リソウ</t>
    </rPh>
    <rPh sb="98" eb="99">
      <t>ク</t>
    </rPh>
    <phoneticPr fontId="1"/>
  </si>
  <si>
    <t>今日の2つのトレードともに、理想のIN/OUTならば、大きく取れたはず。</t>
    <rPh sb="0" eb="2">
      <t>キョウ</t>
    </rPh>
    <rPh sb="14" eb="16">
      <t>リソウ</t>
    </rPh>
    <rPh sb="27" eb="28">
      <t>オオ</t>
    </rPh>
    <rPh sb="30" eb="31">
      <t>ト</t>
    </rPh>
    <phoneticPr fontId="1"/>
  </si>
  <si>
    <t>まだ、恐怖心には負けている。が、結果的にはプラスで終えることができた。</t>
    <rPh sb="3" eb="6">
      <t>キョウフシン</t>
    </rPh>
    <rPh sb="8" eb="9">
      <t>マ</t>
    </rPh>
    <rPh sb="16" eb="19">
      <t>ケッカテキ</t>
    </rPh>
    <rPh sb="25" eb="26">
      <t>オ</t>
    </rPh>
    <phoneticPr fontId="1"/>
  </si>
  <si>
    <t>戦略遵守
（Y/N)</t>
    <rPh sb="2" eb="4">
      <t>ジュンシュ</t>
    </rPh>
    <phoneticPr fontId="1"/>
  </si>
  <si>
    <t>02.13 09:30:41</t>
  </si>
  <si>
    <t>02.13 09:32:22</t>
  </si>
  <si>
    <t>02.13 09:41:38</t>
  </si>
  <si>
    <t>02.13 10:01:21</t>
  </si>
  <si>
    <t>02.13 10:02:33</t>
  </si>
  <si>
    <t>02.13 10:05:20</t>
  </si>
  <si>
    <t>02.13 10:14:27</t>
  </si>
  <si>
    <t>02.13 10:14:58</t>
  </si>
  <si>
    <t>I</t>
    <phoneticPr fontId="1"/>
  </si>
  <si>
    <t>【WhyIN】WVAPを下から上に抜けたのを確認してIN。
【WhyOUT】値動き荒っぽく危険を感じ上髭伸ばしたところでOUT。
【Ev＆Rev】○：結果オーライ。3分後には急降下だった。</t>
    <rPh sb="12" eb="13">
      <t>シタ</t>
    </rPh>
    <rPh sb="15" eb="16">
      <t>ウエ</t>
    </rPh>
    <rPh sb="17" eb="18">
      <t>ヌ</t>
    </rPh>
    <rPh sb="22" eb="24">
      <t>カクニン</t>
    </rPh>
    <rPh sb="38" eb="40">
      <t>ネウゴ</t>
    </rPh>
    <rPh sb="41" eb="42">
      <t>アラ</t>
    </rPh>
    <rPh sb="45" eb="47">
      <t>キケン</t>
    </rPh>
    <rPh sb="48" eb="49">
      <t>カン</t>
    </rPh>
    <rPh sb="50" eb="52">
      <t>ウワヒゲ</t>
    </rPh>
    <rPh sb="52" eb="53">
      <t>ノ</t>
    </rPh>
    <rPh sb="75" eb="77">
      <t>ケッカ</t>
    </rPh>
    <rPh sb="83" eb="85">
      <t>フンゴ</t>
    </rPh>
    <rPh sb="87" eb="90">
      <t>キュウコウカ</t>
    </rPh>
    <phoneticPr fontId="1"/>
  </si>
  <si>
    <t>結果的には大やけどをせずに済んだが、銘柄選定に問題があったか。</t>
    <rPh sb="0" eb="3">
      <t>ケッカテキ</t>
    </rPh>
    <rPh sb="5" eb="6">
      <t>オオ</t>
    </rPh>
    <rPh sb="13" eb="14">
      <t>ス</t>
    </rPh>
    <rPh sb="18" eb="22">
      <t>メイガラセンテイ</t>
    </rPh>
    <rPh sb="23" eb="25">
      <t>モンダイ</t>
    </rPh>
    <phoneticPr fontId="1"/>
  </si>
  <si>
    <t>I1</t>
    <phoneticPr fontId="1"/>
  </si>
  <si>
    <t>OUTのタイミングを我慢し、底打ちから半戻しでOUT。これまでなら、耐えられずに倍の損失で切っていた。
早期撤退すべきことの意識はあったが、判断できず引きずってしまった。機械的撤退に徹するべし。</t>
    <rPh sb="10" eb="12">
      <t>ガマン</t>
    </rPh>
    <rPh sb="14" eb="16">
      <t>ソコウ</t>
    </rPh>
    <rPh sb="19" eb="21">
      <t>ハンモド</t>
    </rPh>
    <rPh sb="34" eb="35">
      <t>タ</t>
    </rPh>
    <rPh sb="40" eb="41">
      <t>バイ</t>
    </rPh>
    <rPh sb="42" eb="44">
      <t>ソンシツ</t>
    </rPh>
    <rPh sb="45" eb="46">
      <t>キ</t>
    </rPh>
    <rPh sb="52" eb="56">
      <t>ソウキテッタイ</t>
    </rPh>
    <rPh sb="62" eb="64">
      <t>イシキ</t>
    </rPh>
    <rPh sb="70" eb="72">
      <t>ハンダン</t>
    </rPh>
    <rPh sb="75" eb="76">
      <t>ヒ</t>
    </rPh>
    <rPh sb="85" eb="88">
      <t>キカイテキ</t>
    </rPh>
    <rPh sb="88" eb="90">
      <t>テッタイ</t>
    </rPh>
    <rPh sb="91" eb="92">
      <t>テッ</t>
    </rPh>
    <phoneticPr fontId="1"/>
  </si>
  <si>
    <t>I2</t>
    <phoneticPr fontId="1"/>
  </si>
  <si>
    <t>【WhyIN】WVAPでのリバウンド狙いでIN。
【WhyOUT】かなり下に連れて行かれたが我慢し底打ち反発半ばで損切り。
【Ev＆Rev】✖：INが早かった。VWAP反発確認が不十分。</t>
    <rPh sb="18" eb="19">
      <t>ネラ</t>
    </rPh>
    <rPh sb="36" eb="37">
      <t>シタ</t>
    </rPh>
    <rPh sb="38" eb="39">
      <t>ツ</t>
    </rPh>
    <rPh sb="41" eb="42">
      <t>イ</t>
    </rPh>
    <rPh sb="46" eb="48">
      <t>ガマン</t>
    </rPh>
    <rPh sb="49" eb="51">
      <t>ソコウ</t>
    </rPh>
    <rPh sb="52" eb="54">
      <t>ハンパツ</t>
    </rPh>
    <rPh sb="54" eb="55">
      <t>ナカ</t>
    </rPh>
    <rPh sb="57" eb="59">
      <t>ゾンギ</t>
    </rPh>
    <rPh sb="75" eb="76">
      <t>ハヤ</t>
    </rPh>
    <rPh sb="84" eb="86">
      <t>ハンパツ</t>
    </rPh>
    <rPh sb="86" eb="88">
      <t>カクニン</t>
    </rPh>
    <rPh sb="89" eb="92">
      <t>フジュウブン</t>
    </rPh>
    <phoneticPr fontId="1"/>
  </si>
  <si>
    <t>【WhyIN】上昇トレンドに乗ってIN。
【WhyOUT】値動き荒く上髭でOUT。
【Ev＆Rev】〇：結果オーライだが、ルール守っていない。</t>
    <rPh sb="7" eb="9">
      <t>ジョウショウ</t>
    </rPh>
    <rPh sb="14" eb="15">
      <t>ノ</t>
    </rPh>
    <rPh sb="29" eb="31">
      <t>ネウゴ</t>
    </rPh>
    <rPh sb="32" eb="33">
      <t>アラ</t>
    </rPh>
    <rPh sb="34" eb="36">
      <t>ウワヒゲ</t>
    </rPh>
    <rPh sb="52" eb="54">
      <t>ケッカ</t>
    </rPh>
    <rPh sb="64" eb="65">
      <t>マモ</t>
    </rPh>
    <phoneticPr fontId="1"/>
  </si>
  <si>
    <t>結果オーライだが、危険なトレード。偶然うまくできただけで再現性のないトレドは慎む。</t>
    <rPh sb="0" eb="2">
      <t>ケッカ</t>
    </rPh>
    <rPh sb="9" eb="11">
      <t>キケン</t>
    </rPh>
    <rPh sb="17" eb="19">
      <t>グウゼン</t>
    </rPh>
    <rPh sb="28" eb="31">
      <t>サイゲンセイ</t>
    </rPh>
    <rPh sb="38" eb="39">
      <t>ツツシ</t>
    </rPh>
    <phoneticPr fontId="1"/>
  </si>
  <si>
    <t>I3</t>
    <phoneticPr fontId="1"/>
  </si>
  <si>
    <t>【WhyIN】根拠不明でIN。
【WhyOUT】指値に刺さりOUT。
【Ev＆Rev】〇：結果オーライだが、ルール守っていない。</t>
    <rPh sb="7" eb="9">
      <t>コンキョ</t>
    </rPh>
    <rPh sb="9" eb="11">
      <t>フメイ</t>
    </rPh>
    <rPh sb="24" eb="26">
      <t>サシネ</t>
    </rPh>
    <rPh sb="27" eb="28">
      <t>サ</t>
    </rPh>
    <phoneticPr fontId="1"/>
  </si>
  <si>
    <t>急騰により決指値で済することになったが、その後一気の急騰をとれず残念。
決済のための指値を仮置きするのは今後やめるルールとする。決済執行は成行で自己操作で行う。</t>
    <rPh sb="0" eb="2">
      <t>キュウトウ</t>
    </rPh>
    <rPh sb="5" eb="6">
      <t>ケツ</t>
    </rPh>
    <rPh sb="6" eb="8">
      <t>サシネ</t>
    </rPh>
    <rPh sb="9" eb="10">
      <t>スミ</t>
    </rPh>
    <rPh sb="22" eb="23">
      <t>ゴ</t>
    </rPh>
    <rPh sb="23" eb="25">
      <t>イッキ</t>
    </rPh>
    <rPh sb="26" eb="28">
      <t>キュウトウ</t>
    </rPh>
    <rPh sb="32" eb="34">
      <t>ザンネン</t>
    </rPh>
    <rPh sb="36" eb="38">
      <t>ケッサイ</t>
    </rPh>
    <rPh sb="42" eb="44">
      <t>サシネ</t>
    </rPh>
    <rPh sb="45" eb="47">
      <t>カリオ</t>
    </rPh>
    <rPh sb="52" eb="54">
      <t>コンゴ</t>
    </rPh>
    <rPh sb="64" eb="66">
      <t>ケッサイ</t>
    </rPh>
    <rPh sb="66" eb="68">
      <t>シッコウ</t>
    </rPh>
    <rPh sb="69" eb="71">
      <t>ナリユキ</t>
    </rPh>
    <rPh sb="72" eb="74">
      <t>ジコ</t>
    </rPh>
    <rPh sb="74" eb="76">
      <t>ソウサ</t>
    </rPh>
    <rPh sb="77" eb="78">
      <t>オコナ</t>
    </rPh>
    <phoneticPr fontId="1"/>
  </si>
  <si>
    <t>結果的には、当初の期待利益を確保できたが、問題の多いトレードが続いた。</t>
    <rPh sb="0" eb="3">
      <t>ケッカテキ</t>
    </rPh>
    <rPh sb="6" eb="8">
      <t>トウショ</t>
    </rPh>
    <rPh sb="9" eb="13">
      <t>キタイリエキ</t>
    </rPh>
    <rPh sb="14" eb="16">
      <t>カクホ</t>
    </rPh>
    <rPh sb="21" eb="23">
      <t>モンダイ</t>
    </rPh>
    <rPh sb="24" eb="25">
      <t>オオ</t>
    </rPh>
    <rPh sb="31" eb="32">
      <t>ツヅ</t>
    </rPh>
    <phoneticPr fontId="1"/>
  </si>
  <si>
    <t>利益は確保したものの、規律と閃絡順守ができていない。</t>
    <rPh sb="0" eb="2">
      <t>リエキ</t>
    </rPh>
    <rPh sb="3" eb="5">
      <t>カクホ</t>
    </rPh>
    <rPh sb="11" eb="13">
      <t>キリツ</t>
    </rPh>
    <rPh sb="14" eb="16">
      <t>センラク</t>
    </rPh>
    <rPh sb="16" eb="18">
      <t>ジュンシュ</t>
    </rPh>
    <phoneticPr fontId="1"/>
  </si>
  <si>
    <t>寄り付き直後の押し目反発でVWAPを超えたタイミングでエントリする。
初動BO(BreakOut)でIN。</t>
    <rPh sb="0" eb="1">
      <t>ヨ</t>
    </rPh>
    <rPh sb="2" eb="3">
      <t>ツ</t>
    </rPh>
    <rPh sb="4" eb="6">
      <t>チョクゴ</t>
    </rPh>
    <rPh sb="7" eb="8">
      <t>オ</t>
    </rPh>
    <rPh sb="9" eb="10">
      <t>メ</t>
    </rPh>
    <rPh sb="10" eb="12">
      <t>ハンパツ</t>
    </rPh>
    <rPh sb="18" eb="19">
      <t>コ</t>
    </rPh>
    <rPh sb="35" eb="37">
      <t>ショドウ</t>
    </rPh>
    <phoneticPr fontId="1"/>
  </si>
  <si>
    <t>INした後想定外の動きとなった場合の、許容度合いを明確にしていない事による対応遅れ。
損切り条件をINする前に設定すること。</t>
    <rPh sb="4" eb="5">
      <t>アト</t>
    </rPh>
    <rPh sb="5" eb="8">
      <t>ソウテイガイ</t>
    </rPh>
    <rPh sb="9" eb="10">
      <t>ウゴ</t>
    </rPh>
    <rPh sb="15" eb="17">
      <t>バアイ</t>
    </rPh>
    <rPh sb="19" eb="21">
      <t>キョヨウ</t>
    </rPh>
    <rPh sb="21" eb="23">
      <t>ドア</t>
    </rPh>
    <rPh sb="25" eb="27">
      <t>メイカク</t>
    </rPh>
    <rPh sb="33" eb="34">
      <t>コト</t>
    </rPh>
    <rPh sb="37" eb="39">
      <t>タイオウ</t>
    </rPh>
    <rPh sb="39" eb="40">
      <t>オク</t>
    </rPh>
    <rPh sb="43" eb="45">
      <t>ソンギ</t>
    </rPh>
    <rPh sb="46" eb="48">
      <t>ジョウケン</t>
    </rPh>
    <rPh sb="53" eb="54">
      <t>マエ</t>
    </rPh>
    <rPh sb="55" eb="57">
      <t>セッテイ</t>
    </rPh>
    <phoneticPr fontId="1"/>
  </si>
  <si>
    <t>マイナスになってから戻るはずだと願望を持って見続ける時の、不安・恐怖心から、安直な損切りをする事がある。</t>
    <rPh sb="10" eb="11">
      <t>モド</t>
    </rPh>
    <rPh sb="16" eb="18">
      <t>ガンボウ</t>
    </rPh>
    <rPh sb="19" eb="20">
      <t>モ</t>
    </rPh>
    <rPh sb="22" eb="24">
      <t>ミツヅ</t>
    </rPh>
    <rPh sb="26" eb="27">
      <t>トキ</t>
    </rPh>
    <rPh sb="29" eb="31">
      <t>フアン</t>
    </rPh>
    <rPh sb="32" eb="35">
      <t>キョウフシン</t>
    </rPh>
    <rPh sb="38" eb="40">
      <t>アンチョク</t>
    </rPh>
    <rPh sb="41" eb="43">
      <t>ソンギ</t>
    </rPh>
    <rPh sb="47" eb="48">
      <t>コト</t>
    </rPh>
    <phoneticPr fontId="1"/>
  </si>
  <si>
    <t>新規ルール：1．損切り条件をINする前に設定すること。
2．仮指値決済設定を止める。決済は成行決済を原則とする。</t>
    <rPh sb="0" eb="2">
      <t>シンキ</t>
    </rPh>
    <rPh sb="30" eb="31">
      <t>カリ</t>
    </rPh>
    <rPh sb="31" eb="33">
      <t>サシネ</t>
    </rPh>
    <rPh sb="33" eb="35">
      <t>ケッサイ</t>
    </rPh>
    <rPh sb="35" eb="37">
      <t>セッテイ</t>
    </rPh>
    <rPh sb="38" eb="39">
      <t>ヤ</t>
    </rPh>
    <rPh sb="42" eb="44">
      <t>ケッサイ</t>
    </rPh>
    <rPh sb="45" eb="47">
      <t>ナリユキ</t>
    </rPh>
    <rPh sb="47" eb="49">
      <t>ケッサイ</t>
    </rPh>
    <rPh sb="50" eb="52">
      <t>ゲンソク</t>
    </rPh>
    <phoneticPr fontId="1"/>
  </si>
  <si>
    <t>02.16 09:10:40</t>
  </si>
  <si>
    <t>02.16 09:13:37</t>
  </si>
  <si>
    <t>J</t>
    <phoneticPr fontId="1"/>
  </si>
  <si>
    <t>【WhyIN】初動吹きあがり後の下落からVWAPでのPBでIN。
【WhyOUT】この値位置で横横。下落リスク回避のため決済。その後一旦下落するも、直ぐに上昇。
【Ev＆Rev】〇：INは理想的。OUTは結果取り損ねたことになるが、経験則では正解。</t>
    <rPh sb="7" eb="9">
      <t>ショドウ</t>
    </rPh>
    <rPh sb="9" eb="10">
      <t>フ</t>
    </rPh>
    <rPh sb="14" eb="15">
      <t>ゴ</t>
    </rPh>
    <rPh sb="16" eb="18">
      <t>ゲラク</t>
    </rPh>
    <rPh sb="43" eb="46">
      <t>ネイチ</t>
    </rPh>
    <rPh sb="47" eb="49">
      <t>ヨコヨコ</t>
    </rPh>
    <rPh sb="50" eb="52">
      <t>ゲラク</t>
    </rPh>
    <rPh sb="55" eb="57">
      <t>カイヒ</t>
    </rPh>
    <rPh sb="60" eb="62">
      <t>ケッサイ</t>
    </rPh>
    <rPh sb="65" eb="66">
      <t>ゴ</t>
    </rPh>
    <rPh sb="66" eb="70">
      <t>イッタンゲラク</t>
    </rPh>
    <rPh sb="74" eb="75">
      <t>ス</t>
    </rPh>
    <rPh sb="77" eb="79">
      <t>ジョウショウ</t>
    </rPh>
    <rPh sb="94" eb="97">
      <t>リソウテキ</t>
    </rPh>
    <rPh sb="102" eb="104">
      <t>ケッカ</t>
    </rPh>
    <rPh sb="104" eb="105">
      <t>ト</t>
    </rPh>
    <rPh sb="106" eb="107">
      <t>ソコ</t>
    </rPh>
    <rPh sb="116" eb="119">
      <t>ケイケンソク</t>
    </rPh>
    <rPh sb="121" eb="123">
      <t>セイカイ</t>
    </rPh>
    <phoneticPr fontId="1"/>
  </si>
  <si>
    <t>IN/OUTとも規則を守り、戦略通り。OUTを後らせば利益増になったと悔やまれるが、
それは結果であり、満足すべき。今は、利益を伸ばすことより、利益を継続することが優先。</t>
    <rPh sb="8" eb="10">
      <t>キソク</t>
    </rPh>
    <rPh sb="11" eb="12">
      <t>マモ</t>
    </rPh>
    <rPh sb="14" eb="17">
      <t>センリャクドオ</t>
    </rPh>
    <rPh sb="23" eb="24">
      <t>オク</t>
    </rPh>
    <rPh sb="27" eb="29">
      <t>リエキ</t>
    </rPh>
    <rPh sb="29" eb="30">
      <t>ゾウ</t>
    </rPh>
    <rPh sb="35" eb="36">
      <t>ク</t>
    </rPh>
    <rPh sb="46" eb="48">
      <t>ケッカ</t>
    </rPh>
    <rPh sb="52" eb="54">
      <t>マンゾク</t>
    </rPh>
    <rPh sb="58" eb="59">
      <t>イマ</t>
    </rPh>
    <rPh sb="61" eb="63">
      <t>リエキ</t>
    </rPh>
    <rPh sb="64" eb="65">
      <t>ノ</t>
    </rPh>
    <rPh sb="72" eb="74">
      <t>リエキ</t>
    </rPh>
    <rPh sb="75" eb="77">
      <t>ケイゾク</t>
    </rPh>
    <rPh sb="82" eb="84">
      <t>ユウセン</t>
    </rPh>
    <phoneticPr fontId="1"/>
  </si>
  <si>
    <t>満足すべきトレード。</t>
    <rPh sb="0" eb="2">
      <t>マンゾク</t>
    </rPh>
    <phoneticPr fontId="1"/>
  </si>
  <si>
    <t>買値まで戻すことを許容するかは、次のステップでの課題とする。</t>
    <rPh sb="0" eb="2">
      <t>カイネ</t>
    </rPh>
    <rPh sb="4" eb="5">
      <t>モド</t>
    </rPh>
    <rPh sb="9" eb="11">
      <t>キョヨウ</t>
    </rPh>
    <rPh sb="16" eb="17">
      <t>ツギ</t>
    </rPh>
    <rPh sb="24" eb="26">
      <t>カダイ</t>
    </rPh>
    <phoneticPr fontId="1"/>
  </si>
  <si>
    <t>住友ファーマ</t>
    <phoneticPr fontId="1"/>
  </si>
  <si>
    <t>02.17 09:12:03</t>
  </si>
  <si>
    <t>02.17 09:40:57</t>
  </si>
  <si>
    <t>フジクラ</t>
    <phoneticPr fontId="1"/>
  </si>
  <si>
    <t>02.17 09:51:33</t>
  </si>
  <si>
    <t>02.17 10:35:10</t>
  </si>
  <si>
    <t>02.17 10:43:17</t>
  </si>
  <si>
    <t>02.17 10:50:01</t>
  </si>
  <si>
    <t>取り戻そうとして、傷口広げた。</t>
    <rPh sb="0" eb="1">
      <t>ト</t>
    </rPh>
    <rPh sb="2" eb="3">
      <t>モド</t>
    </rPh>
    <rPh sb="9" eb="11">
      <t>キズグチ</t>
    </rPh>
    <rPh sb="11" eb="12">
      <t>ヒロ</t>
    </rPh>
    <phoneticPr fontId="1"/>
  </si>
  <si>
    <t>K2</t>
    <phoneticPr fontId="1"/>
  </si>
  <si>
    <t>K1</t>
    <phoneticPr fontId="1"/>
  </si>
  <si>
    <t>K</t>
    <phoneticPr fontId="1"/>
  </si>
  <si>
    <t>【WhyIN】スキャルピング狙いでIN.
【WhyOUT】跳ねたところでOUT。
【Ev＆Rev】△：結果オーライ。</t>
    <rPh sb="14" eb="15">
      <t>ネラ</t>
    </rPh>
    <rPh sb="29" eb="30">
      <t>ハ</t>
    </rPh>
    <phoneticPr fontId="1"/>
  </si>
  <si>
    <t>ｙ</t>
    <phoneticPr fontId="1"/>
  </si>
  <si>
    <t>このうなスキャルピングはやりたくない。</t>
    <phoneticPr fontId="1"/>
  </si>
  <si>
    <t>【WhyIN】初動の押しからVWAP超えそうと判断しIN。その後急降下。
【WhyOUT】損切りライン下まで下がり、戻りを待ち1万マイナスまで回復した所でOUT.
【Ev＆Rev】×：INのタイミングが敗因。</t>
    <rPh sb="7" eb="9">
      <t>ショドウ</t>
    </rPh>
    <rPh sb="10" eb="11">
      <t>オ</t>
    </rPh>
    <rPh sb="18" eb="19">
      <t>コ</t>
    </rPh>
    <rPh sb="23" eb="25">
      <t>ハンダン</t>
    </rPh>
    <rPh sb="31" eb="32">
      <t>ゴ</t>
    </rPh>
    <rPh sb="32" eb="35">
      <t>キュウコウカ</t>
    </rPh>
    <rPh sb="45" eb="47">
      <t>ソンギ</t>
    </rPh>
    <rPh sb="51" eb="52">
      <t>シタ</t>
    </rPh>
    <rPh sb="54" eb="55">
      <t>サ</t>
    </rPh>
    <rPh sb="58" eb="59">
      <t>モド</t>
    </rPh>
    <rPh sb="61" eb="62">
      <t>マ</t>
    </rPh>
    <rPh sb="64" eb="65">
      <t>マン</t>
    </rPh>
    <rPh sb="71" eb="73">
      <t>カイフク</t>
    </rPh>
    <rPh sb="75" eb="76">
      <t>トコロ</t>
    </rPh>
    <rPh sb="101" eb="103">
      <t>ハイイン</t>
    </rPh>
    <phoneticPr fontId="1"/>
  </si>
  <si>
    <t>INのタイミングが悪すぎ。希望的自己希望的観測が最大の敗因。
希望的観測より事実となり、それを堪忍できるまで、待つ。</t>
    <rPh sb="9" eb="10">
      <t>ワル</t>
    </rPh>
    <rPh sb="13" eb="16">
      <t>キボウテキ</t>
    </rPh>
    <rPh sb="16" eb="18">
      <t>ジコ</t>
    </rPh>
    <rPh sb="18" eb="20">
      <t>キボウ</t>
    </rPh>
    <rPh sb="20" eb="21">
      <t>テキ</t>
    </rPh>
    <rPh sb="21" eb="23">
      <t>カンソク</t>
    </rPh>
    <rPh sb="24" eb="26">
      <t>サイダイ</t>
    </rPh>
    <rPh sb="27" eb="29">
      <t>ハイイン</t>
    </rPh>
    <rPh sb="31" eb="34">
      <t>キボウテキ</t>
    </rPh>
    <rPh sb="34" eb="36">
      <t>カンソク</t>
    </rPh>
    <rPh sb="38" eb="40">
      <t>ジジツ</t>
    </rPh>
    <rPh sb="47" eb="49">
      <t>カンニン</t>
    </rPh>
    <rPh sb="55" eb="56">
      <t>マ</t>
    </rPh>
    <phoneticPr fontId="1"/>
  </si>
  <si>
    <t>【WhyIN】VWAP超えそうと判断しIN。しかし、下落トレンド継続中を見逃し。
【WhyOUT】買値戻しを期待させるが、下げ継続でやむなくOUT。
【Ev＆Rev】✖：早めの損切出来ずだらだら持ち続け、限界値悪でOUT。</t>
    <rPh sb="26" eb="28">
      <t>ゲラク</t>
    </rPh>
    <rPh sb="32" eb="35">
      <t>ケイゾクチュウ</t>
    </rPh>
    <rPh sb="36" eb="38">
      <t>ミノガ</t>
    </rPh>
    <rPh sb="49" eb="52">
      <t>カイネモド</t>
    </rPh>
    <rPh sb="54" eb="56">
      <t>キタイ</t>
    </rPh>
    <rPh sb="61" eb="62">
      <t>サ</t>
    </rPh>
    <rPh sb="63" eb="65">
      <t>ケイゾク</t>
    </rPh>
    <rPh sb="85" eb="86">
      <t>ハヤ</t>
    </rPh>
    <rPh sb="88" eb="90">
      <t>ソンギリ</t>
    </rPh>
    <rPh sb="90" eb="92">
      <t>デキ</t>
    </rPh>
    <rPh sb="97" eb="98">
      <t>モ</t>
    </rPh>
    <rPh sb="99" eb="100">
      <t>ツヅ</t>
    </rPh>
    <rPh sb="102" eb="106">
      <t>ゲンカイチアク</t>
    </rPh>
    <phoneticPr fontId="1"/>
  </si>
  <si>
    <t>INもOUTも、負けが込んでいた頃の最も悪いパターン。
損切位置を不明確にしたままINしていたことが敗因。
XXXを割ったら機械的に撤退する！</t>
    <rPh sb="8" eb="9">
      <t>マ</t>
    </rPh>
    <rPh sb="11" eb="12">
      <t>コ</t>
    </rPh>
    <rPh sb="16" eb="17">
      <t>コロ</t>
    </rPh>
    <rPh sb="18" eb="19">
      <t>モット</t>
    </rPh>
    <rPh sb="20" eb="21">
      <t>ワル</t>
    </rPh>
    <rPh sb="28" eb="32">
      <t>ソンギリイチ</t>
    </rPh>
    <rPh sb="33" eb="36">
      <t>フメイカク</t>
    </rPh>
    <rPh sb="50" eb="52">
      <t>ハイイン</t>
    </rPh>
    <rPh sb="58" eb="59">
      <t>ワ</t>
    </rPh>
    <rPh sb="62" eb="65">
      <t>キカイテキ</t>
    </rPh>
    <rPh sb="66" eb="68">
      <t>テッタイ</t>
    </rPh>
    <phoneticPr fontId="1"/>
  </si>
  <si>
    <t>今日は今月初めての負け日。
悪い自己流トレード（希望的INと早期損切せず忍耐限界でやむなくOUT）から脱却。</t>
    <rPh sb="0" eb="2">
      <t>キョウ</t>
    </rPh>
    <rPh sb="3" eb="6">
      <t>コンゲツハジ</t>
    </rPh>
    <rPh sb="9" eb="10">
      <t>マ</t>
    </rPh>
    <rPh sb="11" eb="12">
      <t>ビ</t>
    </rPh>
    <rPh sb="14" eb="15">
      <t>ワル</t>
    </rPh>
    <rPh sb="16" eb="19">
      <t>ジコリュウ</t>
    </rPh>
    <rPh sb="24" eb="27">
      <t>キボウテキ</t>
    </rPh>
    <rPh sb="30" eb="32">
      <t>ソウキ</t>
    </rPh>
    <rPh sb="32" eb="34">
      <t>ソンギリ</t>
    </rPh>
    <rPh sb="36" eb="38">
      <t>ニンタイ</t>
    </rPh>
    <rPh sb="38" eb="40">
      <t>ゲンカイ</t>
    </rPh>
    <rPh sb="51" eb="53">
      <t>ダッキャク</t>
    </rPh>
    <phoneticPr fontId="1"/>
  </si>
  <si>
    <t>INの条件をきちんと確認したのちに、損切ポイントを事前決定し、これを機械的に執行する。</t>
    <rPh sb="3" eb="5">
      <t>ジョウケン</t>
    </rPh>
    <rPh sb="10" eb="12">
      <t>カクニン</t>
    </rPh>
    <rPh sb="18" eb="20">
      <t>ソンギリ</t>
    </rPh>
    <rPh sb="25" eb="27">
      <t>ジゼン</t>
    </rPh>
    <rPh sb="27" eb="29">
      <t>ケッテイ</t>
    </rPh>
    <rPh sb="34" eb="37">
      <t>キカイテキ</t>
    </rPh>
    <rPh sb="38" eb="40">
      <t>シッコウ</t>
    </rPh>
    <phoneticPr fontId="1"/>
  </si>
  <si>
    <t>日東紡績</t>
  </si>
  <si>
    <t>02.18 09:00:43</t>
  </si>
  <si>
    <t>02.18 09:06:40</t>
  </si>
  <si>
    <t>02.18 09:19:26</t>
  </si>
  <si>
    <t>02.18 09:20:18</t>
  </si>
  <si>
    <t>L</t>
    <phoneticPr fontId="1"/>
  </si>
  <si>
    <t>L1</t>
    <phoneticPr fontId="1"/>
  </si>
  <si>
    <t>【WhyIN】寄り直後VWAPを超えたところでIN。
【WhyOUT】跳ねたところでOUT。
【Ev＆Rev】〇：グリップし続け耐えたことの成果。</t>
    <rPh sb="7" eb="8">
      <t>ヨ</t>
    </rPh>
    <rPh sb="9" eb="11">
      <t>チョクゴ</t>
    </rPh>
    <rPh sb="16" eb="17">
      <t>コ</t>
    </rPh>
    <rPh sb="62" eb="63">
      <t>ツヅ</t>
    </rPh>
    <rPh sb="64" eb="65">
      <t>タ</t>
    </rPh>
    <rPh sb="70" eb="72">
      <t>セイカ</t>
    </rPh>
    <phoneticPr fontId="1"/>
  </si>
  <si>
    <t>【WhyIN】スキャルピング狙いでIN.
【WhyOUT】上に抜けたところでOUT。直後から下落始まった。
【Ev＆Rev】〇：結果オーライ。</t>
    <rPh sb="29" eb="30">
      <t>ウエ</t>
    </rPh>
    <rPh sb="31" eb="32">
      <t>ヌ</t>
    </rPh>
    <rPh sb="42" eb="44">
      <t>チョクゴ</t>
    </rPh>
    <rPh sb="46" eb="48">
      <t>ゲラク</t>
    </rPh>
    <rPh sb="48" eb="49">
      <t>ハジ</t>
    </rPh>
    <phoneticPr fontId="1"/>
  </si>
  <si>
    <t>結果オーライだったが、危険なトレードだった。これは慎むべき。</t>
    <rPh sb="0" eb="2">
      <t>ケッカ</t>
    </rPh>
    <rPh sb="11" eb="13">
      <t>キケン</t>
    </rPh>
    <rPh sb="25" eb="26">
      <t>ツツシ</t>
    </rPh>
    <phoneticPr fontId="1"/>
  </si>
  <si>
    <t>結果敵に昨日の負けを埋めることができたのでよしとたい。</t>
    <rPh sb="0" eb="2">
      <t>ケッカ</t>
    </rPh>
    <rPh sb="2" eb="3">
      <t>テキ</t>
    </rPh>
    <rPh sb="4" eb="6">
      <t>サクジツ</t>
    </rPh>
    <rPh sb="7" eb="8">
      <t>マ</t>
    </rPh>
    <rPh sb="10" eb="11">
      <t>ウ</t>
    </rPh>
    <phoneticPr fontId="1"/>
  </si>
  <si>
    <t>損切せずに持ちこたえたことにより、結果を出せた。</t>
    <rPh sb="0" eb="2">
      <t>ソンギリ</t>
    </rPh>
    <rPh sb="5" eb="6">
      <t>モ</t>
    </rPh>
    <rPh sb="17" eb="19">
      <t>ケッカ</t>
    </rPh>
    <rPh sb="20" eb="21">
      <t>ダ</t>
    </rPh>
    <phoneticPr fontId="1"/>
  </si>
  <si>
    <t>キオクシアホールディングス</t>
    <phoneticPr fontId="1"/>
  </si>
  <si>
    <t>INした後、下に持っていかれたが、今日の有望銘柄であることを信じて、我慢した結果。</t>
    <rPh sb="4" eb="5">
      <t>アト</t>
    </rPh>
    <rPh sb="6" eb="7">
      <t>シタ</t>
    </rPh>
    <rPh sb="8" eb="9">
      <t>モ</t>
    </rPh>
    <rPh sb="17" eb="19">
      <t>キョウ</t>
    </rPh>
    <rPh sb="30" eb="31">
      <t>シン</t>
    </rPh>
    <rPh sb="34" eb="36">
      <t>ガマン</t>
    </rPh>
    <rPh sb="38" eb="40">
      <t>ケッカ</t>
    </rPh>
    <phoneticPr fontId="1"/>
  </si>
  <si>
    <t>--------</t>
    <phoneticPr fontId="1"/>
  </si>
  <si>
    <t>2026/02/19 09:15:35</t>
    <phoneticPr fontId="1"/>
  </si>
  <si>
    <t>三井Ｅ＆Ｓ</t>
  </si>
  <si>
    <t>三井Ｅ＆Ｓ</t>
    <phoneticPr fontId="1"/>
  </si>
  <si>
    <t>2026/02/19 09:20:35</t>
    <phoneticPr fontId="1"/>
  </si>
  <si>
    <t>02.19 09:15:35</t>
  </si>
  <si>
    <t>02.19 09:20:35</t>
  </si>
  <si>
    <t>M</t>
    <phoneticPr fontId="1"/>
  </si>
  <si>
    <t>【WhyIN】9:15まで待って、VWAP越えを確認してIN。
【WhyOUT】利益想定分を確保でき、跳ねた所でOUT。15分グリップは出来ず。もったいない結果になったのでは残念。
【Ev＆Rev】〇：OUTタイミングで逃した利益は大きいが、満足できるトレード。</t>
    <rPh sb="110" eb="111">
      <t>ノガ</t>
    </rPh>
    <rPh sb="113" eb="115">
      <t>リエキ</t>
    </rPh>
    <rPh sb="116" eb="117">
      <t>オオ</t>
    </rPh>
    <rPh sb="121" eb="123">
      <t>マンゾク</t>
    </rPh>
    <phoneticPr fontId="1"/>
  </si>
  <si>
    <t>前場の上昇を見ると、虜がした魚はかなり大きいことを改めて認識。
OUT後上昇があったが下がり始め、良いとこでOUTできたと思っていたが、しかしその後VWAP付近で
反発し、上昇を再開。
改めて、グリップ力強化が課題であることを強く認識した。</t>
    <rPh sb="0" eb="2">
      <t>ゼンバ</t>
    </rPh>
    <rPh sb="3" eb="5">
      <t>ジョウショウ</t>
    </rPh>
    <rPh sb="6" eb="7">
      <t>ミ</t>
    </rPh>
    <rPh sb="10" eb="11">
      <t>トリコ</t>
    </rPh>
    <rPh sb="14" eb="15">
      <t>サカナ</t>
    </rPh>
    <rPh sb="19" eb="20">
      <t>オオ</t>
    </rPh>
    <rPh sb="25" eb="26">
      <t>アラタ</t>
    </rPh>
    <rPh sb="28" eb="30">
      <t>ニンシキ</t>
    </rPh>
    <rPh sb="35" eb="36">
      <t>ゴ</t>
    </rPh>
    <rPh sb="36" eb="38">
      <t>ジョウショウ</t>
    </rPh>
    <rPh sb="43" eb="44">
      <t>サ</t>
    </rPh>
    <rPh sb="46" eb="47">
      <t>ハジ</t>
    </rPh>
    <rPh sb="49" eb="50">
      <t>イ</t>
    </rPh>
    <rPh sb="61" eb="62">
      <t>オモ</t>
    </rPh>
    <rPh sb="73" eb="74">
      <t>ゴ</t>
    </rPh>
    <rPh sb="78" eb="80">
      <t>フキン</t>
    </rPh>
    <rPh sb="82" eb="84">
      <t>ハンパツ</t>
    </rPh>
    <rPh sb="86" eb="88">
      <t>ジョウショウ</t>
    </rPh>
    <rPh sb="89" eb="91">
      <t>サイカイ</t>
    </rPh>
    <rPh sb="93" eb="94">
      <t>アラタ</t>
    </rPh>
    <rPh sb="101" eb="102">
      <t>リョク</t>
    </rPh>
    <rPh sb="102" eb="104">
      <t>キョウカ</t>
    </rPh>
    <rPh sb="105" eb="107">
      <t>カダイ</t>
    </rPh>
    <rPh sb="113" eb="114">
      <t>ツヨ</t>
    </rPh>
    <rPh sb="115" eb="117">
      <t>ニンシキ</t>
    </rPh>
    <phoneticPr fontId="1"/>
  </si>
  <si>
    <t>月額利益が当初目標に達することだ出来た。</t>
    <rPh sb="0" eb="4">
      <t>ゲツガクリエキ</t>
    </rPh>
    <rPh sb="5" eb="9">
      <t>トウショモクヒョウ</t>
    </rPh>
    <rPh sb="10" eb="11">
      <t>タッ</t>
    </rPh>
    <rPh sb="16" eb="18">
      <t>デキ</t>
    </rPh>
    <phoneticPr fontId="1"/>
  </si>
  <si>
    <t>利益を確保することろ利益を伸ばすことを比べると今月これまでのところ、前者を優先してきた。
後者へのシフトに軸足を移す事を検討すべき時期かも。</t>
    <rPh sb="0" eb="2">
      <t>リエキ</t>
    </rPh>
    <rPh sb="3" eb="5">
      <t>カクホ</t>
    </rPh>
    <rPh sb="10" eb="12">
      <t>リエキ</t>
    </rPh>
    <rPh sb="13" eb="14">
      <t>ノ</t>
    </rPh>
    <rPh sb="19" eb="20">
      <t>クラ</t>
    </rPh>
    <rPh sb="23" eb="25">
      <t>コンゲツ</t>
    </rPh>
    <rPh sb="34" eb="36">
      <t>ゼンシャ</t>
    </rPh>
    <rPh sb="37" eb="39">
      <t>ユウセン</t>
    </rPh>
    <rPh sb="45" eb="47">
      <t>コウシャ</t>
    </rPh>
    <rPh sb="53" eb="55">
      <t>ジクアシ</t>
    </rPh>
    <rPh sb="56" eb="57">
      <t>ウツ</t>
    </rPh>
    <rPh sb="58" eb="59">
      <t>コト</t>
    </rPh>
    <rPh sb="60" eb="62">
      <t>ケントウ</t>
    </rPh>
    <rPh sb="65" eb="67">
      <t>ジキ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</si>
</sst>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Red]&quot;¥&quot;\-#,##0"/>
    <numFmt numFmtId="176" formatCode="\¥#,##0_);[Red]&quot;(¥&quot;#,##0\)"/>
    <numFmt numFmtId="177" formatCode="0.0%"/>
    <numFmt numFmtId="178" formatCode="\¥#,##0"/>
    <numFmt numFmtId="179" formatCode="mm&quot;月&quot;dd&quot;日&quot;"/>
    <numFmt numFmtId="180" formatCode="yyyy/m/d;@"/>
    <numFmt numFmtId="181" formatCode="&quot;¥&quot;#,##0_);[Red]\(&quot;¥&quot;#,##0\)"/>
    <numFmt numFmtId="182" formatCode="0.0"/>
    <numFmt numFmtId="183" formatCode="mm/dd"/>
  </numFmts>
  <fonts count="32" x14ac:knownFonts="1">
    <font>
      <sz val="10"/>
      <name val="ＭＳ Ｐゴシック"/>
      <family val="3"/>
      <charset val="128"/>
    </font>
    <font>
      <sz val="6"/>
      <name val="ＭＳ Ｐゴシック"/>
      <family val="3"/>
      <charset val="128"/>
    </font>
    <font>
      <sz val="10"/>
      <name val="Meiryo UI"/>
      <family val="3"/>
      <charset val="128"/>
    </font>
    <font>
      <b/>
      <sz val="11"/>
      <color theme="3"/>
      <name val="Meiryo UI"/>
      <family val="3"/>
      <charset val="128"/>
    </font>
    <font>
      <b/>
      <sz val="10"/>
      <color rgb="FF000080"/>
      <name val="Meiryo UI"/>
      <family val="3"/>
      <charset val="128"/>
    </font>
    <font>
      <b/>
      <sz val="18"/>
      <color rgb="FF000080"/>
      <name val="Meiryo UI"/>
      <family val="3"/>
      <charset val="128"/>
    </font>
    <font>
      <b/>
      <i/>
      <sz val="12"/>
      <color rgb="FF000080"/>
      <name val="Meiryo UI"/>
      <family val="3"/>
      <charset val="128"/>
    </font>
    <font>
      <b/>
      <sz val="14"/>
      <color rgb="FF000080"/>
      <name val="Meiryo UI"/>
      <family val="3"/>
      <charset val="128"/>
    </font>
    <font>
      <b/>
      <sz val="12"/>
      <color rgb="FF000080"/>
      <name val="Meiryo UI"/>
      <family val="3"/>
      <charset val="128"/>
    </font>
    <font>
      <sz val="10"/>
      <color rgb="FF7030A0"/>
      <name val="Meiryo UI"/>
      <family val="3"/>
      <charset val="128"/>
    </font>
    <font>
      <b/>
      <sz val="10"/>
      <name val="Meiryo UI"/>
      <family val="3"/>
      <charset val="128"/>
    </font>
    <font>
      <sz val="8"/>
      <name val="Meiryo UI"/>
      <family val="3"/>
      <charset val="128"/>
    </font>
    <font>
      <sz val="10"/>
      <color theme="0"/>
      <name val="ＭＳ Ｐゴシック"/>
      <family val="3"/>
      <charset val="128"/>
    </font>
    <font>
      <b/>
      <sz val="10"/>
      <color theme="4" tint="-0.24994659260841701"/>
      <name val="Meiryo UI"/>
      <family val="3"/>
      <charset val="128"/>
    </font>
    <font>
      <b/>
      <sz val="14"/>
      <color rgb="FF008000"/>
      <name val="ＭＳ Ｐゴシック"/>
      <family val="3"/>
      <charset val="128"/>
    </font>
    <font>
      <b/>
      <sz val="12"/>
      <name val="Meiryo UI"/>
      <family val="3"/>
      <charset val="128"/>
    </font>
    <font>
      <b/>
      <sz val="12"/>
      <color rgb="FF008000"/>
      <name val="ＭＳ Ｐゴシック"/>
      <family val="3"/>
      <charset val="128"/>
    </font>
    <font>
      <sz val="10"/>
      <color theme="1"/>
      <name val="Meiryo UI"/>
      <family val="3"/>
      <charset val="128"/>
    </font>
    <font>
      <u/>
      <sz val="10"/>
      <color theme="10"/>
      <name val="ＭＳ Ｐゴシック"/>
      <family val="3"/>
      <charset val="128"/>
    </font>
    <font>
      <b/>
      <u/>
      <sz val="10"/>
      <color theme="10"/>
      <name val="メイリオ"/>
      <family val="3"/>
      <charset val="128"/>
      <scheme val="major"/>
    </font>
    <font>
      <b/>
      <sz val="10"/>
      <name val="メイリオ"/>
      <family val="3"/>
      <charset val="128"/>
    </font>
    <font>
      <sz val="11"/>
      <color theme="1"/>
      <name val="メイリオ"/>
      <family val="2"/>
      <scheme val="minor"/>
    </font>
    <font>
      <b/>
      <sz val="9"/>
      <name val="メイリオ"/>
      <family val="3"/>
      <charset val="128"/>
    </font>
    <font>
      <b/>
      <sz val="12"/>
      <name val="メイリオ"/>
      <family val="3"/>
      <charset val="128"/>
    </font>
    <font>
      <b/>
      <sz val="11"/>
      <color rgb="FFFFFFFF"/>
      <name val="メイリオ"/>
      <family val="3"/>
      <charset val="128"/>
    </font>
    <font>
      <b/>
      <sz val="14"/>
      <name val="メイリオ"/>
      <family val="3"/>
      <charset val="128"/>
    </font>
    <font>
      <sz val="9"/>
      <name val="メイリオ"/>
      <family val="3"/>
      <charset val="128"/>
    </font>
    <font>
      <b/>
      <sz val="11"/>
      <name val="メイリオ"/>
      <family val="3"/>
      <charset val="128"/>
    </font>
    <font>
      <b/>
      <sz val="10"/>
      <color rgb="FFFF0000"/>
      <name val="メイリオ"/>
      <family val="3"/>
      <charset val="128"/>
    </font>
    <font>
      <sz val="9"/>
      <color theme="3"/>
      <name val="Meiryo UI"/>
      <family val="3"/>
      <charset val="128"/>
    </font>
    <font>
      <b/>
      <sz val="10"/>
      <color theme="3"/>
      <name val="Meiryo UI"/>
      <family val="3"/>
      <charset val="128"/>
    </font>
    <font>
      <sz val="10"/>
      <color rgb="FFFF0000"/>
      <name val="ＭＳ Ｐゴシック"/>
      <family val="3"/>
      <charset val="128"/>
    </font>
  </fonts>
  <fills count="16">
    <fill>
      <patternFill patternType="none"/>
    </fill>
    <fill>
      <patternFill patternType="gray125"/>
    </fill>
    <fill>
      <patternFill patternType="solid">
        <fgColor rgb="FFFFFFCC"/>
        <bgColor rgb="FFFFFFFF"/>
      </patternFill>
    </fill>
    <fill>
      <patternFill patternType="solid">
        <fgColor theme="8"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6337778862885"/>
        <bgColor indexed="64"/>
      </patternFill>
    </fill>
    <fill>
      <patternFill patternType="solid">
        <fgColor theme="5" tint="0.59996337778862885"/>
        <bgColor indexed="64"/>
      </patternFill>
    </fill>
    <fill>
      <patternFill patternType="solid">
        <fgColor theme="6" tint="0.79998168889431442"/>
        <bgColor indexed="64"/>
      </patternFill>
    </fill>
    <fill>
      <gradientFill type="path">
        <stop position="0">
          <color theme="0"/>
        </stop>
        <stop position="1">
          <color theme="8" tint="0.59999389629810485"/>
        </stop>
      </gradientFill>
    </fill>
    <fill>
      <patternFill patternType="solid">
        <fgColor rgb="FFE2EFDA"/>
        <bgColor rgb="FF000000"/>
      </patternFill>
    </fill>
    <fill>
      <patternFill patternType="solid">
        <fgColor rgb="FFE7E6E6"/>
        <bgColor rgb="FFE7E6E6"/>
      </patternFill>
    </fill>
    <fill>
      <patternFill patternType="solid">
        <fgColor rgb="FFB4C7E7"/>
        <bgColor rgb="FFB4C7E7"/>
      </patternFill>
    </fill>
    <fill>
      <patternFill patternType="solid">
        <fgColor rgb="FF4472C4"/>
        <bgColor rgb="FF4472C4"/>
      </patternFill>
    </fill>
    <fill>
      <patternFill patternType="solid">
        <fgColor rgb="FFE2EFDA"/>
        <bgColor rgb="FFE2EFDA"/>
      </patternFill>
    </fill>
    <fill>
      <patternFill patternType="solid">
        <fgColor rgb="FFFFF2CC"/>
        <bgColor rgb="FFFFF2CC"/>
      </patternFill>
    </fill>
  </fills>
  <borders count="32">
    <border>
      <left/>
      <right/>
      <top/>
      <bottom/>
      <diagonal/>
    </border>
    <border>
      <left style="thin">
        <color rgb="FF000080"/>
      </left>
      <right style="thin">
        <color rgb="FF000080"/>
      </right>
      <top style="thin">
        <color rgb="FF000080"/>
      </top>
      <bottom style="thin">
        <color rgb="FF000080"/>
      </bottom>
      <diagonal/>
    </border>
    <border>
      <left/>
      <right style="thin">
        <color rgb="FF000080"/>
      </right>
      <top/>
      <bottom/>
      <diagonal/>
    </border>
    <border>
      <left/>
      <right style="thin">
        <color rgb="FF000080"/>
      </right>
      <top/>
      <bottom style="thick">
        <color rgb="FF000080"/>
      </bottom>
      <diagonal/>
    </border>
    <border>
      <left/>
      <right/>
      <top style="thick">
        <color rgb="FF000080"/>
      </top>
      <bottom style="medium">
        <color rgb="FF000080"/>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right/>
      <top/>
      <bottom style="medium">
        <color rgb="FF000080"/>
      </bottom>
      <diagonal/>
    </border>
    <border>
      <left/>
      <right style="thick">
        <color rgb="FF000080"/>
      </right>
      <top/>
      <bottom/>
      <diagonal/>
    </border>
    <border>
      <left/>
      <right style="thick">
        <color rgb="FF000080"/>
      </right>
      <top/>
      <bottom style="thick">
        <color rgb="FF000080"/>
      </bottom>
      <diagonal/>
    </border>
    <border>
      <left style="thick">
        <color rgb="FF000080"/>
      </left>
      <right/>
      <top/>
      <bottom style="thick">
        <color rgb="FF000080"/>
      </bottom>
      <diagonal/>
    </border>
    <border>
      <left style="thick">
        <color rgb="FF000080"/>
      </left>
      <right/>
      <top/>
      <bottom/>
      <diagonal/>
    </border>
    <border>
      <left style="thick">
        <color rgb="FF000080"/>
      </left>
      <right style="thin">
        <color rgb="FF000080"/>
      </right>
      <top style="thick">
        <color rgb="FF000080"/>
      </top>
      <bottom/>
      <diagonal/>
    </border>
    <border>
      <left style="thin">
        <color rgb="FF000080"/>
      </left>
      <right style="thin">
        <color rgb="FF000080"/>
      </right>
      <top style="thick">
        <color rgb="FF000080"/>
      </top>
      <bottom/>
      <diagonal/>
    </border>
    <border>
      <left/>
      <right/>
      <top style="thick">
        <color rgb="FF000080"/>
      </top>
      <bottom/>
      <diagonal/>
    </border>
    <border>
      <left style="thin">
        <color rgb="FF000080"/>
      </left>
      <right style="thin">
        <color rgb="FF000080"/>
      </right>
      <top style="thick">
        <color rgb="FF000080"/>
      </top>
      <bottom style="thin">
        <color rgb="FF000080"/>
      </bottom>
      <diagonal/>
    </border>
    <border>
      <left/>
      <right style="thick">
        <color rgb="FF000080"/>
      </right>
      <top style="thick">
        <color rgb="FF000080"/>
      </top>
      <bottom/>
      <diagonal/>
    </border>
    <border>
      <left style="thin">
        <color auto="1"/>
      </left>
      <right/>
      <top/>
      <bottom/>
      <diagonal/>
    </border>
    <border>
      <left style="thin">
        <color auto="1"/>
      </left>
      <right/>
      <top/>
      <bottom style="thin">
        <color auto="1"/>
      </bottom>
      <diagonal/>
    </border>
    <border>
      <left/>
      <right/>
      <top style="dotted">
        <color auto="1"/>
      </top>
      <bottom style="dotted">
        <color auto="1"/>
      </bottom>
      <diagonal/>
    </border>
    <border>
      <left style="medium">
        <color auto="1"/>
      </left>
      <right/>
      <top/>
      <bottom/>
      <diagonal/>
    </border>
    <border>
      <left style="thick">
        <color rgb="FF000080"/>
      </left>
      <right style="thick">
        <color theme="8" tint="0.39994506668294322"/>
      </right>
      <top style="thick">
        <color theme="8" tint="0.39994506668294322"/>
      </top>
      <bottom style="thick">
        <color theme="8" tint="0.39994506668294322"/>
      </bottom>
      <diagonal/>
    </border>
    <border>
      <left style="medium">
        <color auto="1"/>
      </left>
      <right/>
      <top/>
      <bottom style="dotted">
        <color auto="1"/>
      </bottom>
      <diagonal/>
    </border>
    <border>
      <left/>
      <right/>
      <top/>
      <bottom style="dotted">
        <color auto="1"/>
      </bottom>
      <diagonal/>
    </border>
    <border>
      <left style="medium">
        <color auto="1"/>
      </left>
      <right style="medium">
        <color auto="1"/>
      </right>
      <top style="medium">
        <color auto="1"/>
      </top>
      <bottom style="medium">
        <color auto="1"/>
      </bottom>
      <diagonal/>
    </border>
    <border>
      <left style="medium">
        <color auto="1"/>
      </left>
      <right/>
      <top style="dotted">
        <color auto="1"/>
      </top>
      <bottom/>
      <diagonal/>
    </border>
    <border>
      <left/>
      <right/>
      <top style="dotted">
        <color auto="1"/>
      </top>
      <bottom/>
      <diagonal/>
    </border>
    <border>
      <left style="medium">
        <color auto="1"/>
      </left>
      <right/>
      <top style="dotted">
        <color auto="1"/>
      </top>
      <bottom style="medium">
        <color auto="1"/>
      </bottom>
      <diagonal/>
    </border>
    <border>
      <left/>
      <right/>
      <top style="dotted">
        <color auto="1"/>
      </top>
      <bottom style="medium">
        <color auto="1"/>
      </bottom>
      <diagonal/>
    </border>
    <border>
      <left style="medium">
        <color auto="1"/>
      </left>
      <right/>
      <top style="medium">
        <color auto="1"/>
      </top>
      <bottom/>
      <diagonal/>
    </border>
    <border>
      <left/>
      <right/>
      <top style="medium">
        <color auto="1"/>
      </top>
      <bottom/>
      <diagonal/>
    </border>
  </borders>
  <cellStyleXfs count="3">
    <xf numFmtId="0" fontId="0" fillId="0" borderId="0"/>
    <xf numFmtId="0" fontId="18" fillId="0" borderId="0" applyNumberFormat="0" applyFill="0" applyBorder="0" applyAlignment="0" applyProtection="0"/>
    <xf numFmtId="0" fontId="21" fillId="0" borderId="0"/>
  </cellStyleXfs>
  <cellXfs count="105">
    <xf numFmtId="0" fontId="0" fillId="0" borderId="0" xfId="0"/>
    <xf numFmtId="0" fontId="3" fillId="6" borderId="0" xfId="0" applyFont="1" applyFill="1"/>
    <xf numFmtId="0" fontId="2" fillId="0" borderId="5" xfId="0" applyFont="1" applyBorder="1" applyAlignment="1">
      <alignment wrapText="1"/>
    </xf>
    <xf numFmtId="0" fontId="2" fillId="0" borderId="5" xfId="0" applyFont="1" applyBorder="1"/>
    <xf numFmtId="178" fontId="2" fillId="0" borderId="6" xfId="0" applyNumberFormat="1" applyFont="1" applyBorder="1"/>
    <xf numFmtId="178" fontId="2" fillId="2" borderId="6" xfId="0" applyNumberFormat="1" applyFont="1" applyFill="1" applyBorder="1"/>
    <xf numFmtId="0" fontId="2" fillId="0" borderId="0" xfId="0" applyFont="1"/>
    <xf numFmtId="0" fontId="4" fillId="0" borderId="4" xfId="0" applyFont="1" applyBorder="1" applyAlignment="1">
      <alignment horizontal="center" wrapText="1"/>
    </xf>
    <xf numFmtId="0" fontId="4" fillId="0" borderId="0" xfId="0" applyFont="1" applyAlignment="1">
      <alignment horizontal="center" wrapText="1"/>
    </xf>
    <xf numFmtId="0" fontId="8" fillId="0" borderId="0" xfId="0" applyFont="1"/>
    <xf numFmtId="180" fontId="2" fillId="0" borderId="5" xfId="0" applyNumberFormat="1" applyFont="1" applyBorder="1" applyAlignment="1">
      <alignment wrapText="1"/>
    </xf>
    <xf numFmtId="0" fontId="2" fillId="0" borderId="9" xfId="0" applyFont="1" applyBorder="1"/>
    <xf numFmtId="0" fontId="2" fillId="0" borderId="10" xfId="0" applyFont="1" applyBorder="1"/>
    <xf numFmtId="0" fontId="5" fillId="0" borderId="15" xfId="0" applyFont="1" applyBorder="1"/>
    <xf numFmtId="0" fontId="2" fillId="0" borderId="15" xfId="0" applyFont="1" applyBorder="1"/>
    <xf numFmtId="0" fontId="2" fillId="0" borderId="17" xfId="0" applyFont="1" applyBorder="1"/>
    <xf numFmtId="0" fontId="8" fillId="3" borderId="12" xfId="0" applyFont="1" applyFill="1" applyBorder="1"/>
    <xf numFmtId="0" fontId="8" fillId="3" borderId="7" xfId="0" applyFont="1" applyFill="1" applyBorder="1"/>
    <xf numFmtId="0" fontId="2" fillId="3" borderId="12" xfId="0" applyFont="1" applyFill="1" applyBorder="1"/>
    <xf numFmtId="0" fontId="2" fillId="3" borderId="2" xfId="0" applyFont="1" applyFill="1" applyBorder="1"/>
    <xf numFmtId="0" fontId="8" fillId="3" borderId="11" xfId="0" applyFont="1" applyFill="1" applyBorder="1"/>
    <xf numFmtId="0" fontId="2" fillId="3" borderId="3" xfId="0" applyFont="1" applyFill="1" applyBorder="1"/>
    <xf numFmtId="0" fontId="11" fillId="0" borderId="0" xfId="0" applyFont="1"/>
    <xf numFmtId="177" fontId="2" fillId="2" borderId="19" xfId="0" applyNumberFormat="1" applyFont="1" applyFill="1" applyBorder="1"/>
    <xf numFmtId="6" fontId="10" fillId="0" borderId="18" xfId="0" applyNumberFormat="1" applyFont="1" applyBorder="1"/>
    <xf numFmtId="6" fontId="2" fillId="2" borderId="6" xfId="0" applyNumberFormat="1" applyFont="1" applyFill="1" applyBorder="1" applyAlignment="1">
      <alignment horizontal="right"/>
    </xf>
    <xf numFmtId="0" fontId="0" fillId="0" borderId="20" xfId="0" applyBorder="1"/>
    <xf numFmtId="0" fontId="12" fillId="0" borderId="0" xfId="0" applyFont="1"/>
    <xf numFmtId="179" fontId="3" fillId="6" borderId="21" xfId="0" applyNumberFormat="1" applyFont="1" applyFill="1" applyBorder="1"/>
    <xf numFmtId="0" fontId="13" fillId="9" borderId="22" xfId="0" applyFont="1" applyFill="1" applyBorder="1"/>
    <xf numFmtId="6" fontId="13" fillId="2" borderId="6" xfId="0" applyNumberFormat="1" applyFont="1" applyFill="1" applyBorder="1" applyAlignment="1">
      <alignment horizontal="right"/>
    </xf>
    <xf numFmtId="0" fontId="0" fillId="0" borderId="0" xfId="0" applyAlignment="1">
      <alignment vertical="top"/>
    </xf>
    <xf numFmtId="14" fontId="2" fillId="0" borderId="0" xfId="0" applyNumberFormat="1" applyFont="1"/>
    <xf numFmtId="181" fontId="15" fillId="3" borderId="2" xfId="0" applyNumberFormat="1" applyFont="1" applyFill="1" applyBorder="1"/>
    <xf numFmtId="0" fontId="2" fillId="0" borderId="0" xfId="0" quotePrefix="1" applyFont="1"/>
    <xf numFmtId="0" fontId="2" fillId="10" borderId="0" xfId="0" quotePrefix="1" applyFont="1" applyFill="1"/>
    <xf numFmtId="180" fontId="2" fillId="4" borderId="23" xfId="0" applyNumberFormat="1" applyFont="1" applyFill="1" applyBorder="1" applyAlignment="1">
      <alignment vertical="top"/>
    </xf>
    <xf numFmtId="180" fontId="10" fillId="3" borderId="24" xfId="0" applyNumberFormat="1" applyFont="1" applyFill="1" applyBorder="1" applyAlignment="1">
      <alignment vertical="top"/>
    </xf>
    <xf numFmtId="0" fontId="2" fillId="5" borderId="24" xfId="0" applyFont="1" applyFill="1" applyBorder="1" applyAlignment="1">
      <alignment vertical="top"/>
    </xf>
    <xf numFmtId="0" fontId="9" fillId="7" borderId="24" xfId="0" applyFont="1" applyFill="1" applyBorder="1" applyAlignment="1">
      <alignment vertical="top"/>
    </xf>
    <xf numFmtId="0" fontId="3" fillId="6" borderId="0" xfId="0" applyFont="1" applyFill="1" applyAlignment="1">
      <alignment wrapText="1"/>
    </xf>
    <xf numFmtId="14" fontId="0" fillId="0" borderId="0" xfId="0" applyNumberFormat="1"/>
    <xf numFmtId="22" fontId="2" fillId="0" borderId="5" xfId="0" applyNumberFormat="1" applyFont="1" applyBorder="1" applyAlignment="1">
      <alignment wrapText="1"/>
    </xf>
    <xf numFmtId="0" fontId="2" fillId="7" borderId="20" xfId="0" applyFont="1" applyFill="1" applyBorder="1" applyAlignment="1">
      <alignment vertical="top"/>
    </xf>
    <xf numFmtId="0" fontId="22" fillId="0" borderId="0" xfId="0" applyFont="1" applyAlignment="1">
      <alignment vertical="top"/>
    </xf>
    <xf numFmtId="0" fontId="20" fillId="11" borderId="0" xfId="0" applyFont="1" applyFill="1"/>
    <xf numFmtId="0" fontId="0" fillId="0" borderId="5" xfId="0" applyBorder="1" applyAlignment="1">
      <alignment horizontal="left" vertical="center"/>
    </xf>
    <xf numFmtId="182" fontId="0" fillId="14" borderId="5" xfId="0" applyNumberFormat="1" applyFill="1" applyBorder="1" applyAlignment="1">
      <alignment horizontal="center" vertical="center"/>
    </xf>
    <xf numFmtId="0" fontId="0" fillId="14" borderId="5" xfId="0" applyFill="1" applyBorder="1" applyAlignment="1">
      <alignment horizontal="center" vertical="center"/>
    </xf>
    <xf numFmtId="183" fontId="0" fillId="14" borderId="5" xfId="0" applyNumberFormat="1" applyFill="1" applyBorder="1" applyAlignment="1">
      <alignment horizontal="center" vertical="center"/>
    </xf>
    <xf numFmtId="0" fontId="24" fillId="13" borderId="5" xfId="0" applyFont="1" applyFill="1" applyBorder="1" applyAlignment="1">
      <alignment horizontal="center" vertical="center"/>
    </xf>
    <xf numFmtId="0" fontId="0" fillId="0" borderId="5" xfId="0" applyBorder="1" applyAlignment="1">
      <alignment horizontal="center" vertical="center"/>
    </xf>
    <xf numFmtId="0" fontId="26" fillId="0" borderId="0" xfId="0" applyFont="1"/>
    <xf numFmtId="0" fontId="25" fillId="15" borderId="25" xfId="0" applyFont="1" applyFill="1" applyBorder="1" applyAlignment="1">
      <alignment horizontal="center" vertical="center"/>
    </xf>
    <xf numFmtId="0" fontId="27" fillId="15" borderId="0" xfId="0" applyFont="1" applyFill="1" applyAlignment="1">
      <alignment horizontal="center" vertical="center"/>
    </xf>
    <xf numFmtId="0" fontId="23" fillId="0" borderId="0" xfId="0" applyFont="1"/>
    <xf numFmtId="0" fontId="28" fillId="0" borderId="0" xfId="0" applyFont="1"/>
    <xf numFmtId="0" fontId="25" fillId="0" borderId="0" xfId="0" applyFont="1"/>
    <xf numFmtId="0" fontId="30" fillId="6" borderId="0" xfId="0" applyFont="1" applyFill="1" applyAlignment="1">
      <alignment wrapText="1"/>
    </xf>
    <xf numFmtId="38" fontId="0" fillId="14" borderId="5" xfId="0" applyNumberFormat="1" applyFill="1" applyBorder="1" applyAlignment="1">
      <alignment horizontal="center" vertical="center"/>
    </xf>
    <xf numFmtId="179" fontId="3" fillId="6" borderId="21" xfId="0" applyNumberFormat="1" applyFont="1" applyFill="1" applyBorder="1" applyAlignment="1">
      <alignment wrapText="1"/>
    </xf>
    <xf numFmtId="6" fontId="2" fillId="0" borderId="18" xfId="0" applyNumberFormat="1" applyFont="1" applyBorder="1"/>
    <xf numFmtId="180" fontId="2" fillId="4" borderId="21" xfId="0" applyNumberFormat="1" applyFont="1" applyFill="1" applyBorder="1" applyAlignment="1">
      <alignment vertical="top"/>
    </xf>
    <xf numFmtId="180" fontId="19" fillId="3" borderId="0" xfId="1" applyNumberFormat="1" applyFont="1" applyFill="1" applyBorder="1" applyAlignment="1">
      <alignment vertical="top"/>
    </xf>
    <xf numFmtId="0" fontId="2" fillId="7" borderId="24" xfId="0" applyFont="1" applyFill="1" applyBorder="1" applyAlignment="1">
      <alignment vertical="top"/>
    </xf>
    <xf numFmtId="180" fontId="2" fillId="4" borderId="26" xfId="0" applyNumberFormat="1" applyFont="1" applyFill="1" applyBorder="1" applyAlignment="1">
      <alignment vertical="top"/>
    </xf>
    <xf numFmtId="0" fontId="2" fillId="5" borderId="27" xfId="0" applyFont="1" applyFill="1" applyBorder="1" applyAlignment="1">
      <alignment vertical="top"/>
    </xf>
    <xf numFmtId="0" fontId="17" fillId="7" borderId="27" xfId="0" applyFont="1" applyFill="1" applyBorder="1" applyAlignment="1">
      <alignment vertical="top" wrapText="1"/>
    </xf>
    <xf numFmtId="180" fontId="20" fillId="3" borderId="27" xfId="0" applyNumberFormat="1" applyFont="1" applyFill="1" applyBorder="1" applyAlignment="1">
      <alignment vertical="top"/>
    </xf>
    <xf numFmtId="180" fontId="10" fillId="3" borderId="27" xfId="0" applyNumberFormat="1" applyFont="1" applyFill="1" applyBorder="1" applyAlignment="1">
      <alignment vertical="top"/>
    </xf>
    <xf numFmtId="0" fontId="2" fillId="7" borderId="27" xfId="0" applyFont="1" applyFill="1" applyBorder="1" applyAlignment="1">
      <alignment vertical="top"/>
    </xf>
    <xf numFmtId="180" fontId="19" fillId="3" borderId="27" xfId="1" applyNumberFormat="1" applyFont="1" applyFill="1" applyBorder="1" applyAlignment="1">
      <alignment vertical="top"/>
    </xf>
    <xf numFmtId="0" fontId="9" fillId="7" borderId="27" xfId="0" applyFont="1" applyFill="1" applyBorder="1" applyAlignment="1">
      <alignment vertical="top"/>
    </xf>
    <xf numFmtId="180" fontId="18" fillId="3" borderId="27" xfId="1" applyNumberFormat="1" applyFill="1" applyBorder="1" applyAlignment="1">
      <alignment vertical="top"/>
    </xf>
    <xf numFmtId="0" fontId="2" fillId="5" borderId="27" xfId="0" applyFont="1" applyFill="1" applyBorder="1" applyAlignment="1">
      <alignment vertical="top" wrapText="1"/>
    </xf>
    <xf numFmtId="0" fontId="2" fillId="7" borderId="27" xfId="0" applyFont="1" applyFill="1" applyBorder="1" applyAlignment="1">
      <alignment vertical="top" wrapText="1"/>
    </xf>
    <xf numFmtId="180" fontId="2" fillId="4" borderId="28" xfId="0" applyNumberFormat="1" applyFont="1" applyFill="1" applyBorder="1" applyAlignment="1">
      <alignment vertical="top"/>
    </xf>
    <xf numFmtId="180" fontId="2" fillId="4" borderId="30" xfId="0" applyNumberFormat="1" applyFont="1" applyFill="1" applyBorder="1" applyAlignment="1">
      <alignment vertical="top"/>
    </xf>
    <xf numFmtId="180" fontId="19" fillId="3" borderId="31" xfId="1" applyNumberFormat="1" applyFont="1" applyFill="1" applyBorder="1" applyAlignment="1">
      <alignment vertical="top"/>
    </xf>
    <xf numFmtId="0" fontId="2" fillId="5" borderId="31" xfId="0" applyFont="1" applyFill="1" applyBorder="1" applyAlignment="1">
      <alignment vertical="top"/>
    </xf>
    <xf numFmtId="0" fontId="2" fillId="7" borderId="31" xfId="0" applyFont="1" applyFill="1" applyBorder="1" applyAlignment="1">
      <alignment vertical="top"/>
    </xf>
    <xf numFmtId="0" fontId="9" fillId="7" borderId="31" xfId="0" applyFont="1" applyFill="1" applyBorder="1" applyAlignment="1">
      <alignment vertical="top"/>
    </xf>
    <xf numFmtId="0" fontId="2" fillId="5" borderId="31" xfId="0" applyFont="1" applyFill="1" applyBorder="1" applyAlignment="1">
      <alignment vertical="top" wrapText="1"/>
    </xf>
    <xf numFmtId="0" fontId="2" fillId="7" borderId="31" xfId="0" applyFont="1" applyFill="1" applyBorder="1" applyAlignment="1">
      <alignment vertical="top" wrapText="1"/>
    </xf>
    <xf numFmtId="0" fontId="18" fillId="7" borderId="27" xfId="1" applyFill="1" applyBorder="1" applyAlignment="1">
      <alignment vertical="top"/>
    </xf>
    <xf numFmtId="0" fontId="31" fillId="0" borderId="0" xfId="0" applyFont="1" applyAlignment="1">
      <alignment vertical="top"/>
    </xf>
    <xf numFmtId="0" fontId="4" fillId="0" borderId="8" xfId="0" applyFont="1" applyBorder="1" applyAlignment="1">
      <alignment horizontal="center" wrapText="1"/>
    </xf>
    <xf numFmtId="0" fontId="2" fillId="8" borderId="5" xfId="0" applyFont="1" applyFill="1" applyBorder="1" applyAlignment="1">
      <alignment horizontal="right" wrapText="1"/>
    </xf>
    <xf numFmtId="0" fontId="18" fillId="0" borderId="5" xfId="1" applyBorder="1" applyAlignment="1">
      <alignment wrapText="1"/>
    </xf>
    <xf numFmtId="0" fontId="2" fillId="5" borderId="29" xfId="0" applyFont="1" applyFill="1" applyBorder="1" applyAlignment="1">
      <alignment vertical="top"/>
    </xf>
    <xf numFmtId="0" fontId="2" fillId="5" borderId="0" xfId="0" applyFont="1" applyFill="1" applyAlignment="1">
      <alignment vertical="top"/>
    </xf>
    <xf numFmtId="0" fontId="17" fillId="7" borderId="0" xfId="0" applyFont="1" applyFill="1" applyAlignment="1">
      <alignment vertical="top"/>
    </xf>
    <xf numFmtId="180" fontId="10" fillId="3" borderId="29" xfId="0" applyNumberFormat="1" applyFont="1" applyFill="1" applyBorder="1" applyAlignment="1">
      <alignment vertical="top"/>
    </xf>
    <xf numFmtId="0" fontId="2" fillId="7" borderId="29" xfId="0" applyFont="1" applyFill="1" applyBorder="1" applyAlignment="1">
      <alignment vertical="top" wrapText="1"/>
    </xf>
    <xf numFmtId="0" fontId="6" fillId="0" borderId="0" xfId="0" applyFont="1"/>
    <xf numFmtId="176" fontId="7" fillId="2" borderId="1" xfId="0" applyNumberFormat="1" applyFont="1" applyFill="1" applyBorder="1"/>
    <xf numFmtId="177" fontId="7" fillId="2" borderId="1" xfId="0" applyNumberFormat="1" applyFont="1" applyFill="1" applyBorder="1" applyAlignment="1">
      <alignment horizontal="right"/>
    </xf>
    <xf numFmtId="0" fontId="5" fillId="3" borderId="13" xfId="0" applyFont="1" applyFill="1" applyBorder="1"/>
    <xf numFmtId="0" fontId="5" fillId="3" borderId="14" xfId="0" applyFont="1" applyFill="1" applyBorder="1"/>
    <xf numFmtId="0" fontId="6" fillId="0" borderId="15" xfId="0" applyFont="1" applyBorder="1"/>
    <xf numFmtId="176" fontId="7" fillId="2" borderId="16" xfId="0" applyNumberFormat="1" applyFont="1" applyFill="1" applyBorder="1"/>
    <xf numFmtId="0" fontId="0" fillId="0" borderId="5" xfId="0" applyBorder="1" applyAlignment="1">
      <alignment horizontal="left" vertical="top" wrapText="1"/>
    </xf>
    <xf numFmtId="0" fontId="0" fillId="0" borderId="0" xfId="0"/>
    <xf numFmtId="0" fontId="0" fillId="0" borderId="0" xfId="0" applyAlignment="1">
      <alignment horizontal="left" vertical="top" wrapText="1"/>
    </xf>
    <xf numFmtId="0" fontId="23" fillId="12" borderId="0" xfId="0" applyFont="1" applyFill="1"/>
  </cellXfs>
  <cellStyles count="3">
    <cellStyle name="ハイパーリンク" xfId="1" builtinId="8"/>
    <cellStyle name="標準" xfId="0" builtinId="0"/>
    <cellStyle name="標準 2" xfId="2" xr:uid="{4C12F715-8B1A-4ED9-811C-557C8C666C49}"/>
  </cellStyles>
  <dxfs count="13">
    <dxf>
      <font>
        <b/>
        <i val="0"/>
        <color rgb="FFFF0000"/>
      </font>
    </dxf>
    <dxf>
      <font>
        <b/>
        <i val="0"/>
        <color rgb="FFFF0000"/>
      </font>
    </dxf>
    <dxf>
      <font>
        <b/>
        <i val="0"/>
        <color rgb="FFFF0000"/>
      </font>
    </dxf>
    <dxf>
      <font>
        <b/>
        <i val="0"/>
        <color rgb="FFFF0000"/>
      </font>
    </dxf>
    <dxf>
      <font>
        <b/>
        <i val="0"/>
        <color rgb="FFFF0000"/>
      </font>
    </dxf>
    <dxf>
      <font>
        <color rgb="FFFF0000"/>
      </font>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b/>
        <i val="0"/>
        <color rgb="FFFF0000"/>
      </font>
    </dxf>
    <dxf>
      <fill>
        <patternFill>
          <bgColor theme="8" tint="0.79998168889431442"/>
        </patternFill>
      </fill>
      <border>
        <left style="thin">
          <color auto="1"/>
        </left>
        <right style="thin">
          <color auto="1"/>
        </right>
        <top style="thin">
          <color auto="1"/>
        </top>
        <bottom style="thin">
          <color auto="1"/>
        </bottom>
      </border>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9d78e95572824ee4b06b9e5ab8942a15">
      <tp t="s">
        <v/>
        <stp/>
        <stp>Market</stp>
        <stp>STOCK</stp>
        <stp/>
        <stp>現在日付</stp>
        <tr r="E75" s="1"/>
        <tr r="E216" s="1"/>
        <tr r="E136" s="1"/>
        <tr r="E262" s="1"/>
        <tr r="E124" s="1"/>
        <tr r="E176" s="1"/>
        <tr r="E200" s="1"/>
        <tr r="E199" s="1"/>
        <tr r="E135" s="1"/>
        <tr r="E186" s="1"/>
        <tr r="E220" s="1"/>
        <tr r="E76" s="1"/>
        <tr r="E222" s="1"/>
        <tr r="E60" s="1"/>
        <tr r="E295" s="1"/>
        <tr r="E292" s="1"/>
        <tr r="E131" s="1"/>
        <tr r="E194" s="1"/>
        <tr r="E113" s="1"/>
        <tr r="E155" s="1"/>
        <tr r="E115" s="1"/>
        <tr r="E67" s="1"/>
        <tr r="E245" s="1"/>
        <tr r="E81" s="1"/>
        <tr r="E169" s="1"/>
        <tr r="E147" s="1"/>
        <tr r="E207" s="1"/>
        <tr r="E185" s="1"/>
        <tr r="E214" s="1"/>
        <tr r="E226" s="1"/>
        <tr r="E84" s="1"/>
        <tr r="E90" s="1"/>
        <tr r="E190" s="1"/>
        <tr r="E290" s="1"/>
        <tr r="E42" s="1"/>
        <tr r="E212" s="1"/>
        <tr r="E263" s="1"/>
        <tr r="E54" s="1"/>
        <tr r="E120" s="1"/>
        <tr r="E236" s="1"/>
        <tr r="E243" s="1"/>
        <tr r="E146" s="1"/>
        <tr r="E144" s="1"/>
        <tr r="E70" s="1"/>
        <tr r="E37" s="1"/>
        <tr r="E173" s="1"/>
        <tr r="E53" s="1"/>
        <tr r="E270" s="1"/>
        <tr r="E217" s="1"/>
        <tr r="E80" s="1"/>
        <tr r="E111" s="1"/>
        <tr r="E109" s="1"/>
        <tr r="E101" s="1"/>
        <tr r="E73" s="1"/>
        <tr r="E89" s="1"/>
        <tr r="E132" s="1"/>
        <tr r="E289" s="1"/>
        <tr r="E104" s="1"/>
        <tr r="E77" s="1"/>
        <tr r="E254" s="1"/>
        <tr r="E165" s="1"/>
        <tr r="E168" s="1"/>
        <tr r="E230" s="1"/>
        <tr r="E57" s="1"/>
        <tr r="E129" s="1"/>
        <tr r="E143" s="1"/>
        <tr r="E232" s="1"/>
        <tr r="E49" s="1"/>
        <tr r="E74" s="1"/>
        <tr r="E56" s="1"/>
        <tr r="E161" s="1"/>
        <tr r="E261" s="1"/>
        <tr r="E258" s="1"/>
        <tr r="E72" s="1"/>
        <tr r="E170" s="1"/>
        <tr r="E96" s="1"/>
        <tr r="E64" s="1"/>
        <tr r="E163" s="1"/>
        <tr r="E211" s="1"/>
        <tr r="E273" s="1"/>
        <tr r="E253" s="1"/>
        <tr r="E69" s="1"/>
        <tr r="E140" s="1"/>
        <tr r="E218" s="1"/>
        <tr r="E79" s="1"/>
        <tr r="E198" s="1"/>
        <tr r="E300" s="1"/>
        <tr r="E98" s="1"/>
        <tr r="E281" s="1"/>
        <tr r="E46" s="1"/>
        <tr r="E293" s="1"/>
        <tr r="E206" s="1"/>
        <tr r="E279" s="1"/>
        <tr r="E122" s="1"/>
        <tr r="E277" s="1"/>
        <tr r="E221" s="1"/>
        <tr r="E247" s="1"/>
        <tr r="E127" s="1"/>
        <tr r="E102" s="1"/>
        <tr r="E272" s="1"/>
        <tr r="E134" s="1"/>
        <tr r="E246" s="1"/>
        <tr r="E166" s="1"/>
        <tr r="E188" s="1"/>
        <tr r="E183" s="1"/>
        <tr r="E116" s="1"/>
        <tr r="E86" s="1"/>
        <tr r="E174" s="1"/>
        <tr r="E288" s="1"/>
        <tr r="E121" s="1"/>
        <tr r="E248" s="1"/>
        <tr r="E239" s="1"/>
        <tr r="E58" s="1"/>
        <tr r="E164" s="1"/>
        <tr r="E244" s="1"/>
        <tr r="E225" s="1"/>
        <tr r="E119" s="1"/>
        <tr r="E66" s="1"/>
        <tr r="E224" s="1"/>
        <tr r="E87" s="1"/>
        <tr r="E195" s="1"/>
        <tr r="E63" s="1"/>
        <tr r="E65" s="1"/>
        <tr r="E264" s="1"/>
        <tr r="E192" s="1"/>
        <tr r="E114" s="1"/>
        <tr r="E286" s="1"/>
        <tr r="E150" s="1"/>
        <tr r="E180" s="1"/>
        <tr r="E52" s="1"/>
        <tr r="E41" s="1"/>
        <tr r="E252" s="1"/>
        <tr r="E280" s="1"/>
        <tr r="E167" s="1"/>
        <tr r="E255" s="1"/>
        <tr r="E47" s="1"/>
        <tr r="E160" s="1"/>
        <tr r="E148" s="1"/>
        <tr r="E234" s="1"/>
        <tr r="E283" s="1"/>
        <tr r="E105" s="1"/>
        <tr r="E88" s="1"/>
        <tr r="E43" s="1"/>
        <tr r="E154" s="1"/>
        <tr r="E285" s="1"/>
        <tr r="E55" s="1"/>
        <tr r="E197" s="1"/>
        <tr r="E257" s="1"/>
        <tr r="E133" s="1"/>
        <tr r="E141" s="1"/>
        <tr r="E71" s="1"/>
        <tr r="E59" s="1"/>
        <tr r="E299" s="1"/>
        <tr r="E123" s="1"/>
        <tr r="E203" s="1"/>
        <tr r="E139" s="1"/>
        <tr r="E296" s="1"/>
        <tr r="E107" s="1"/>
        <tr r="E68" s="1"/>
        <tr r="E282" s="1"/>
        <tr r="E205" s="1"/>
        <tr r="E78" s="1"/>
        <tr r="E130" s="1"/>
        <tr r="E268" s="1"/>
        <tr r="E240" s="1"/>
        <tr r="E40" s="1"/>
        <tr r="E267" s="1"/>
        <tr r="E103" s="1"/>
        <tr r="E159" s="1"/>
        <tr r="E266" s="1"/>
        <tr r="E181" s="1"/>
        <tr r="E92" s="1"/>
        <tr r="E265" s="1"/>
        <tr r="E189" s="1"/>
        <tr r="E284" s="1"/>
        <tr r="E187" s="1"/>
        <tr r="E208" s="1"/>
        <tr r="E229" s="1"/>
        <tr r="E95" s="1"/>
        <tr r="E117" s="1"/>
        <tr r="E108" s="1"/>
        <tr r="E179" s="1"/>
        <tr r="E227" s="1"/>
        <tr r="E157" s="1"/>
        <tr r="E291" s="1"/>
        <tr r="E152" s="1"/>
        <tr r="E156" s="1"/>
        <tr r="E213" s="1"/>
        <tr r="E242" s="1"/>
        <tr r="E126" s="1"/>
        <tr r="E175" s="1"/>
        <tr r="E153" s="1"/>
        <tr r="E191" s="1"/>
        <tr r="E128" s="1"/>
        <tr r="E271" s="1"/>
        <tr r="E287" s="1"/>
        <tr r="E51" s="1"/>
        <tr r="E209" s="1"/>
        <tr r="E278" s="1"/>
        <tr r="E184" s="1"/>
        <tr r="E61" s="1"/>
        <tr r="E97" s="1"/>
        <tr r="E106" s="1"/>
        <tr r="E125" s="1"/>
        <tr r="E110" s="1"/>
        <tr r="E182" s="1"/>
        <tr r="E249" s="1"/>
        <tr r="E259" s="1"/>
        <tr r="E99" s="1"/>
        <tr r="E172" s="1"/>
        <tr r="E235" s="1"/>
        <tr r="E62" s="1"/>
        <tr r="E297" s="1"/>
        <tr r="E48" s="1"/>
        <tr r="E193" s="1"/>
        <tr r="E196" s="1"/>
        <tr r="E233" s="1"/>
        <tr r="E100" s="1"/>
        <tr r="E50" s="1"/>
        <tr r="E294" s="1"/>
        <tr r="E149" s="1"/>
        <tr r="E38" s="1"/>
        <tr r="E238" s="1"/>
        <tr r="E85" s="1"/>
        <tr r="E250" s="1"/>
        <tr r="E44" s="1"/>
        <tr r="E274" s="1"/>
        <tr r="E45" s="1"/>
        <tr r="E256" s="1"/>
        <tr r="E223" s="1"/>
        <tr r="E162" s="1"/>
        <tr r="E204" s="1"/>
        <tr r="E94" s="1"/>
        <tr r="E91" s="1"/>
        <tr r="E202" s="1"/>
        <tr r="E83" s="1"/>
        <tr r="E269" s="1"/>
        <tr r="E158" s="1"/>
        <tr r="E138" s="1"/>
        <tr r="E142" s="1"/>
        <tr r="E276" s="1"/>
        <tr r="E237" s="1"/>
        <tr r="E298" s="1"/>
        <tr r="E177" s="1"/>
        <tr r="E219" s="1"/>
        <tr r="E241" s="1"/>
        <tr r="E201" s="1"/>
        <tr r="E93" s="1"/>
        <tr r="E260" s="1"/>
        <tr r="E118" s="1"/>
        <tr r="E82" s="1"/>
        <tr r="E178" s="1"/>
        <tr r="E215" s="1"/>
        <tr r="E171" s="1"/>
        <tr r="E151" s="1"/>
        <tr r="E228" s="1"/>
        <tr r="E145" s="1"/>
        <tr r="E39" s="1"/>
        <tr r="E251" s="1"/>
        <tr r="E231" s="1"/>
        <tr r="E137" s="1"/>
        <tr r="E112" s="1"/>
        <tr r="E210" s="1"/>
        <tr r="E275" s="1"/>
      </tp>
      <tp t="s">
        <v/>
        <stp/>
        <stp>ExecutionList</stp>
        <stp>1540082838736,0,0,18,18</stp>
        <stp>0</stp>
        <stp/>
        <stp>A</stp>
        <stp>0</stp>
        <stp>0</stp>
        <tr r="S1" s="1"/>
      </tp>
    </main>
    <main first="rtdsrv.9d78e95572824ee4b06b9e5ab8942a15">
      <tp t="s">
        <v/>
        <stp/>
        <stp>Market</stp>
        <stp>STOCK</stp>
        <stp/>
        <stp>銘柄名称</stp>
        <tr r="D175" s="1"/>
        <tr r="D117" s="1"/>
        <tr r="D65" s="1"/>
        <tr r="D191" s="1"/>
        <tr r="D168" s="1"/>
        <tr r="D267" s="1"/>
        <tr r="D48" s="1"/>
        <tr r="D279" s="1"/>
        <tr r="D257" s="1"/>
        <tr r="D135" s="1"/>
        <tr r="D273" s="1"/>
        <tr r="D240" s="1"/>
        <tr r="D177" s="1"/>
        <tr r="D75" s="1"/>
        <tr r="D202" s="1"/>
        <tr r="D136" s="1"/>
        <tr r="D160" s="1"/>
        <tr r="D108" s="1"/>
        <tr r="D93" s="1"/>
        <tr r="D243" s="1"/>
        <tr r="D74" s="1"/>
        <tr r="D299" s="1"/>
        <tr r="D118" s="1"/>
        <tr r="D55" s="1"/>
        <tr r="D111" s="1"/>
        <tr r="D229" s="1"/>
        <tr r="D268" s="1"/>
        <tr r="D49" s="1"/>
        <tr r="D70" s="1"/>
        <tr r="D165" s="1"/>
        <tr r="D69" s="1"/>
        <tr r="D57" s="1"/>
        <tr r="D209" s="1"/>
        <tr r="D131" s="1"/>
        <tr r="D51" s="1"/>
        <tr r="D221" s="1"/>
        <tr r="D277" s="1"/>
        <tr r="D232" s="1"/>
        <tr r="D137" s="1"/>
        <tr r="D95" s="1"/>
        <tr r="D64" s="1"/>
        <tr r="D68" s="1"/>
        <tr r="D125" s="1"/>
        <tr r="D44" s="1"/>
        <tr r="D204" s="1"/>
        <tr r="D47" s="1"/>
        <tr r="D82" s="1"/>
        <tr r="D81" s="1"/>
        <tr r="D192" s="1"/>
        <tr r="D102" s="1"/>
        <tr r="D282" s="1"/>
        <tr r="D110" s="1"/>
        <tr r="D176" s="1"/>
        <tr r="D166" s="1"/>
        <tr r="D220" s="1"/>
        <tr r="D149" s="1"/>
        <tr r="D259" s="1"/>
        <tr r="D280" s="1"/>
        <tr r="D164" s="1"/>
        <tr r="D151" s="1"/>
        <tr r="D77" s="1"/>
        <tr r="D83" s="1"/>
        <tr r="D148" s="1"/>
        <tr r="D85" s="1"/>
        <tr r="D269" s="1"/>
        <tr r="D284" s="1"/>
        <tr r="D98" s="1"/>
        <tr r="D153" s="1"/>
        <tr r="D200" s="1"/>
        <tr r="D197" s="1"/>
        <tr r="D144" s="1"/>
        <tr r="D180" s="1"/>
        <tr r="D266" s="1"/>
        <tr r="D178" s="1"/>
        <tr r="D66" s="1"/>
        <tr r="D276" s="1"/>
        <tr r="D300" s="1"/>
        <tr r="D119" s="1"/>
        <tr r="D203" s="1"/>
        <tr r="D248" s="1"/>
        <tr r="D249" s="1"/>
        <tr r="D46" s="1"/>
        <tr r="D100" s="1"/>
        <tr r="D262" s="1"/>
        <tr r="D264" s="1"/>
        <tr r="D116" s="1"/>
        <tr r="D91" s="1"/>
        <tr r="D181" s="1"/>
        <tr r="D169" s="1"/>
        <tr r="D78" s="1"/>
        <tr r="D38" s="1"/>
        <tr r="D56" s="1"/>
        <tr r="D230" s="1"/>
        <tr r="D89" s="1"/>
        <tr r="D281" s="1"/>
        <tr r="D58" s="1"/>
        <tr r="D63" s="1"/>
        <tr r="D231" s="1"/>
        <tr r="D239" s="1"/>
        <tr r="D258" s="1"/>
        <tr r="D87" s="1"/>
        <tr r="D245" s="1"/>
        <tr r="D251" s="1"/>
        <tr r="D250" s="1"/>
        <tr r="D236" s="1"/>
        <tr r="D187" s="1"/>
        <tr r="D291" s="1"/>
        <tr r="D141" s="1"/>
        <tr r="D62" s="1"/>
        <tr r="D244" s="1"/>
        <tr r="D41" s="1"/>
        <tr r="D208" s="1"/>
        <tr r="D253" s="1"/>
        <tr r="D37" s="1"/>
        <tr r="D142" s="1"/>
        <tr r="D179" s="1"/>
        <tr r="D92" s="1"/>
        <tr r="D172" s="1"/>
        <tr r="D79" s="1"/>
        <tr r="D233" s="1"/>
        <tr r="D196" s="1"/>
        <tr r="D275" s="1"/>
        <tr r="D52" s="1"/>
        <tr r="D73" s="1"/>
        <tr r="D294" s="1"/>
        <tr r="D138" s="1"/>
        <tr r="D96" s="1"/>
        <tr r="D198" s="1"/>
        <tr r="D147" s="1"/>
        <tr r="D45" s="1"/>
        <tr r="D61" s="1"/>
        <tr r="D228" s="1"/>
        <tr r="D283" s="1"/>
        <tr r="D132" s="1"/>
        <tr r="D113" s="1"/>
        <tr r="D252" s="1"/>
        <tr r="D146" s="1"/>
        <tr r="D211" s="1"/>
        <tr r="D265" s="1"/>
        <tr r="D43" s="1"/>
        <tr r="D130" s="1"/>
        <tr r="D80" s="1"/>
        <tr r="D124" s="1"/>
        <tr r="D217" s="1"/>
        <tr r="D159" s="1"/>
        <tr r="D295" s="1"/>
        <tr r="D53" s="1"/>
        <tr r="D120" s="1"/>
        <tr r="D189" s="1"/>
        <tr r="D210" s="1"/>
        <tr r="D163" s="1"/>
        <tr r="D71" s="1"/>
        <tr r="D205" s="1"/>
        <tr r="D88" s="1"/>
        <tr r="D114" s="1"/>
        <tr r="D241" s="1"/>
        <tr r="D190" s="1"/>
        <tr r="D99" s="1"/>
        <tr r="D286" s="1"/>
        <tr r="D122" s="1"/>
        <tr r="D39" s="1"/>
        <tr r="D263" s="1"/>
        <tr r="D216" s="1"/>
        <tr r="D42" s="1"/>
        <tr r="D270" s="1"/>
        <tr r="D206" s="1"/>
        <tr r="D67" s="1"/>
        <tr r="D238" s="1"/>
        <tr r="D140" s="1"/>
        <tr r="D186" s="1"/>
        <tr r="D182" s="1"/>
        <tr r="D143" s="1"/>
        <tr r="D292" s="1"/>
        <tr r="D76" s="1"/>
        <tr r="D222" s="1"/>
        <tr r="D139" s="1"/>
        <tr r="D255" s="1"/>
        <tr r="D290" s="1"/>
        <tr r="D195" s="1"/>
        <tr r="D227" s="1"/>
        <tr r="D40" s="1"/>
        <tr r="D50" s="1"/>
        <tr r="D183" s="1"/>
        <tr r="D161" s="1"/>
        <tr r="D59" s="1"/>
        <tr r="D97" s="1"/>
        <tr r="D173" s="1"/>
        <tr r="D112" s="1"/>
        <tr r="D109" s="1"/>
        <tr r="D188" s="1"/>
        <tr r="D260" s="1"/>
        <tr r="D199" s="1"/>
        <tr r="D261" s="1"/>
        <tr r="D121" s="1"/>
        <tr r="D158" s="1"/>
        <tr r="D134" s="1"/>
        <tr r="D60" s="1"/>
        <tr r="D154" s="1"/>
        <tr r="D167" s="1"/>
        <tr r="D274" s="1"/>
        <tr r="D207" s="1"/>
        <tr r="D225" s="1"/>
        <tr r="D193" s="1"/>
        <tr r="D219" s="1"/>
        <tr r="D127" s="1"/>
        <tr r="D226" s="1"/>
        <tr r="D293" s="1"/>
        <tr r="D155" s="1"/>
        <tr r="D296" s="1"/>
        <tr r="D254" s="1"/>
        <tr r="D235" s="1"/>
        <tr r="D201" s="1"/>
        <tr r="D94" s="1"/>
        <tr r="D213" s="1"/>
        <tr r="D278" s="1"/>
        <tr r="D214" s="1"/>
        <tr r="D185" s="1"/>
        <tr r="D115" s="1"/>
        <tr r="D72" s="1"/>
        <tr r="D84" s="1"/>
        <tr r="D246" s="1"/>
        <tr r="D234" s="1"/>
        <tr r="D150" s="1"/>
        <tr r="D298" s="1"/>
        <tr r="D162" s="1"/>
        <tr r="D171" s="1"/>
        <tr r="D271" s="1"/>
        <tr r="D101" s="1"/>
        <tr r="D133" s="1"/>
        <tr r="D145" s="1"/>
        <tr r="D123" s="1"/>
        <tr r="D272" s="1"/>
        <tr r="D289" s="1"/>
        <tr r="D297" s="1"/>
        <tr r="D54" s="1"/>
        <tr r="D288" s="1"/>
        <tr r="D285" s="1"/>
        <tr r="D223" s="1"/>
        <tr r="D247" s="1"/>
        <tr r="D105" s="1"/>
        <tr r="D107" s="1"/>
        <tr r="D170" s="1"/>
        <tr r="D103" s="1"/>
        <tr r="D106" s="1"/>
        <tr r="D218" s="1"/>
        <tr r="D212" s="1"/>
        <tr r="D129" s="1"/>
        <tr r="D104" s="1"/>
        <tr r="D90" s="1"/>
        <tr r="D126" s="1"/>
        <tr r="D215" s="1"/>
        <tr r="D242" s="1"/>
        <tr r="D152" s="1"/>
        <tr r="D287" s="1"/>
        <tr r="D86" s="1"/>
        <tr r="D224" s="1"/>
        <tr r="D174" s="1"/>
        <tr r="D157" s="1"/>
        <tr r="D128" s="1"/>
        <tr r="D184" s="1"/>
        <tr r="D237" s="1"/>
        <tr r="D194" s="1"/>
        <tr r="D156" s="1"/>
        <tr r="D256" s="1"/>
      </tp>
    </main>
  </volType>
</volType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523875</xdr:colOff>
          <xdr:row>2</xdr:row>
          <xdr:rowOff>133350</xdr:rowOff>
        </xdr:from>
        <xdr:to>
          <xdr:col>13</xdr:col>
          <xdr:colOff>76200</xdr:colOff>
          <xdr:row>4</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8000"/>
                  </a:solidFill>
                  <a:latin typeface="ＭＳ Ｐゴシック"/>
                  <a:ea typeface="ＭＳ Ｐゴシック"/>
                </a:rPr>
                <a:t>値を貼り付け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57150</xdr:rowOff>
        </xdr:from>
        <xdr:to>
          <xdr:col>3</xdr:col>
          <xdr:colOff>1133475</xdr:colOff>
          <xdr:row>4</xdr:row>
          <xdr:rowOff>19050</xdr:rowOff>
        </xdr:to>
        <xdr:sp macro="" textlink="">
          <xdr:nvSpPr>
            <xdr:cNvPr id="1034" name="Button 10" descr="今日現在の収益"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8000"/>
                  </a:solidFill>
                  <a:latin typeface="ＭＳ Ｐゴシック"/>
                  <a:ea typeface="ＭＳ Ｐゴシック"/>
                </a:rPr>
                <a:t>現在の収益</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entury Gothic">
      <a:majorFont>
        <a:latin typeface="Century Gothic" panose="020F030202020403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F03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tradingview.com/x/Rib7bfqv/" TargetMode="External"/><Relationship Id="rId1" Type="http://schemas.openxmlformats.org/officeDocument/2006/relationships/hyperlink" Target="https://www.tradingview.com/x/FXlemE0D/"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hyperlink" Target="https://www.tradingview.com/x/dg8ch6BY/" TargetMode="External"/><Relationship Id="rId18" Type="http://schemas.openxmlformats.org/officeDocument/2006/relationships/hyperlink" Target="https://www.tradingview.com/x/3VYYbSFr/" TargetMode="External"/><Relationship Id="rId26" Type="http://schemas.openxmlformats.org/officeDocument/2006/relationships/hyperlink" Target="https://www.tradingview.com/x/3bXCYCcS/" TargetMode="External"/><Relationship Id="rId3" Type="http://schemas.openxmlformats.org/officeDocument/2006/relationships/hyperlink" Target="https://www.tradingview.com/x/6wVL9kIH/" TargetMode="External"/><Relationship Id="rId21" Type="http://schemas.openxmlformats.org/officeDocument/2006/relationships/hyperlink" Target="https://www.tradingview.com/x/KbMObiqO/" TargetMode="External"/><Relationship Id="rId34" Type="http://schemas.openxmlformats.org/officeDocument/2006/relationships/hyperlink" Target="file:///E:\Megumi\skydrive\&#12489;&#12461;&#12517;&#12513;&#12531;&#12488;\Obsidian%20Vault\Trading%20Diary\2026_02\2026-02-18.md" TargetMode="External"/><Relationship Id="rId7" Type="http://schemas.openxmlformats.org/officeDocument/2006/relationships/hyperlink" Target="https://www.tradingview.com/x/DgtYauzp/" TargetMode="External"/><Relationship Id="rId12" Type="http://schemas.openxmlformats.org/officeDocument/2006/relationships/hyperlink" Target="https://www.notion.so/41a7258473954b37ab1893d177805044?source=copy_link" TargetMode="External"/><Relationship Id="rId17" Type="http://schemas.openxmlformats.org/officeDocument/2006/relationships/hyperlink" Target="https://www.tradingview.com/x/3VYYbSFr/" TargetMode="External"/><Relationship Id="rId25" Type="http://schemas.openxmlformats.org/officeDocument/2006/relationships/hyperlink" Target="file:///E:\Megumi\skydrive\&#12489;&#12461;&#12517;&#12513;&#12531;&#12488;\Obsidian%20Vault\Trading%20Diary\2026_02\2026-02-13.md" TargetMode="External"/><Relationship Id="rId33" Type="http://schemas.openxmlformats.org/officeDocument/2006/relationships/hyperlink" Target="file:///E:\Megumi\skydrive\&#12489;&#12461;&#12517;&#12513;&#12531;&#12488;\Obsidian%20Vault\Trading%20Diary\2026_02\2026-02-17.md" TargetMode="External"/><Relationship Id="rId2" Type="http://schemas.openxmlformats.org/officeDocument/2006/relationships/hyperlink" Target="https://www.tradingview.com/x/rLeDk7B9/" TargetMode="External"/><Relationship Id="rId16" Type="http://schemas.openxmlformats.org/officeDocument/2006/relationships/hyperlink" Target="https://www.tradingview.com/x/3VYYbSFr/" TargetMode="External"/><Relationship Id="rId20" Type="http://schemas.openxmlformats.org/officeDocument/2006/relationships/hyperlink" Target="https://www.tradingview.com/x/oQKKJHxq/" TargetMode="External"/><Relationship Id="rId29" Type="http://schemas.openxmlformats.org/officeDocument/2006/relationships/hyperlink" Target="https://www.tradingview.com/x/XlUrGkgt/" TargetMode="External"/><Relationship Id="rId1" Type="http://schemas.openxmlformats.org/officeDocument/2006/relationships/hyperlink" Target="https://www.tradingview.com/x/e4aXXF4R/" TargetMode="External"/><Relationship Id="rId6" Type="http://schemas.openxmlformats.org/officeDocument/2006/relationships/hyperlink" Target="https://www.tradingview.com/x/DgtYauzp/" TargetMode="External"/><Relationship Id="rId11" Type="http://schemas.openxmlformats.org/officeDocument/2006/relationships/hyperlink" Target="obsidian://open/?vault=Obsidian%20Vault&amp;file=Trading%20Diary%2FReview%2F0206G%E3%83%AC%E3%83%93%E3%83%A5%E3%83%BC" TargetMode="External"/><Relationship Id="rId24" Type="http://schemas.openxmlformats.org/officeDocument/2006/relationships/hyperlink" Target="https://www.tradingview.com/x/3udryjsE/" TargetMode="External"/><Relationship Id="rId32" Type="http://schemas.openxmlformats.org/officeDocument/2006/relationships/hyperlink" Target="https://www.tradingview.com/x/A5psBk8P/" TargetMode="External"/><Relationship Id="rId5" Type="http://schemas.openxmlformats.org/officeDocument/2006/relationships/hyperlink" Target="https://www.tradingview.com/x/X8RTNpqQ/" TargetMode="External"/><Relationship Id="rId15" Type="http://schemas.openxmlformats.org/officeDocument/2006/relationships/hyperlink" Target="https://www.tradingview.com/x/3VYYbSFr/" TargetMode="External"/><Relationship Id="rId23" Type="http://schemas.openxmlformats.org/officeDocument/2006/relationships/hyperlink" Target="https://www.tradingview.com/x/OCmTpwDr/" TargetMode="External"/><Relationship Id="rId28" Type="http://schemas.openxmlformats.org/officeDocument/2006/relationships/hyperlink" Target="https://www.tradingview.com/x/FXlemE0D/" TargetMode="External"/><Relationship Id="rId36" Type="http://schemas.openxmlformats.org/officeDocument/2006/relationships/printerSettings" Target="../printerSettings/printerSettings2.bin"/><Relationship Id="rId10" Type="http://schemas.openxmlformats.org/officeDocument/2006/relationships/hyperlink" Target="https://www.tradingview.com/x/VWMHpiSN/" TargetMode="External"/><Relationship Id="rId19" Type="http://schemas.openxmlformats.org/officeDocument/2006/relationships/hyperlink" Target="https://www.tradingview.com/x/hwSdXo8i/" TargetMode="External"/><Relationship Id="rId31" Type="http://schemas.openxmlformats.org/officeDocument/2006/relationships/hyperlink" Target="https://www.tradingview.com/x/A5psBk8P/" TargetMode="External"/><Relationship Id="rId4" Type="http://schemas.openxmlformats.org/officeDocument/2006/relationships/hyperlink" Target="https://www.tradingview.com/x/ujH06ZFQ/" TargetMode="External"/><Relationship Id="rId9" Type="http://schemas.openxmlformats.org/officeDocument/2006/relationships/hyperlink" Target="https://www.tradingview.com/x/VWMHpiSN/" TargetMode="External"/><Relationship Id="rId14" Type="http://schemas.openxmlformats.org/officeDocument/2006/relationships/hyperlink" Target="https://www.tradingview.com/x/dg8ch6BY/" TargetMode="External"/><Relationship Id="rId22" Type="http://schemas.openxmlformats.org/officeDocument/2006/relationships/hyperlink" Target="https://www.tradingview.com/x/a5G88IVC/" TargetMode="External"/><Relationship Id="rId27" Type="http://schemas.openxmlformats.org/officeDocument/2006/relationships/hyperlink" Target="obsidian://open/?vault=Obsidian%20Vault&amp;file=Trading%20Diary%2F2026_02%2F2026-02-16" TargetMode="External"/><Relationship Id="rId30" Type="http://schemas.openxmlformats.org/officeDocument/2006/relationships/hyperlink" Target="https://www.tradingview.com/x/uXmmbkZG/" TargetMode="External"/><Relationship Id="rId35" Type="http://schemas.openxmlformats.org/officeDocument/2006/relationships/hyperlink" Target="https://www.tradingview.com/x/esnCyZWp/" TargetMode="External"/><Relationship Id="rId8" Type="http://schemas.openxmlformats.org/officeDocument/2006/relationships/hyperlink" Target="https://www.tradingview.com/x/VWMHpiS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300"/>
  <sheetViews>
    <sheetView showGridLines="0" zoomScaleNormal="100" workbookViewId="0">
      <pane xSplit="10" ySplit="7" topLeftCell="K8" activePane="bottomRight" state="frozen"/>
      <selection pane="topRight" activeCell="K1" sqref="K1"/>
      <selection pane="bottomLeft" activeCell="A15" sqref="A15"/>
      <selection pane="bottomRight" activeCell="A36" sqref="A36:XFD36"/>
    </sheetView>
  </sheetViews>
  <sheetFormatPr defaultColWidth="9.140625" defaultRowHeight="12" x14ac:dyDescent="0.15"/>
  <cols>
    <col min="1" max="1" width="3.7109375" customWidth="1"/>
    <col min="2" max="2" width="4.5703125" customWidth="1"/>
    <col min="3" max="3" width="6.7109375" customWidth="1"/>
    <col min="4" max="4" width="17.7109375" customWidth="1"/>
    <col min="5" max="5" width="16.5703125" customWidth="1"/>
    <col min="6" max="6" width="17" customWidth="1"/>
    <col min="7" max="7" width="7.7109375" customWidth="1"/>
    <col min="8" max="8" width="11.85546875" customWidth="1"/>
    <col min="9" max="9" width="5" customWidth="1"/>
    <col min="10" max="10" width="14.140625" customWidth="1"/>
    <col min="11" max="11" width="15.28515625" customWidth="1"/>
    <col min="12" max="12" width="13.28515625" customWidth="1"/>
    <col min="13" max="13" width="12.140625" customWidth="1"/>
    <col min="14" max="14" width="8.42578125" customWidth="1"/>
    <col min="15" max="15" width="12.28515625" customWidth="1"/>
    <col min="16" max="16" width="8.28515625" customWidth="1"/>
    <col min="17" max="17" width="5.42578125" customWidth="1"/>
    <col min="18" max="18" width="10.42578125" customWidth="1"/>
    <col min="19" max="19" width="20.7109375" customWidth="1"/>
  </cols>
  <sheetData>
    <row r="1" spans="1:34" ht="12.75" thickBot="1" x14ac:dyDescent="0.2">
      <c r="A1" s="27">
        <v>36</v>
      </c>
      <c r="B1" s="27"/>
      <c r="R1" s="41">
        <v>46072</v>
      </c>
      <c r="S1" t="str" cm="1">
        <f t="array" ref="S1">_xll.RssExecutionList($S$2:$AG$2, 0, "", "A", 0, 0)</f>
        <v>=RssExecutionList($S$2:$AG$2, 0, "", "A", 0, 0) =&gt; 接続待ち</v>
      </c>
    </row>
    <row r="2" spans="1:34" s="6" customFormat="1" ht="25.5" thickTop="1" thickBot="1" x14ac:dyDescent="0.4">
      <c r="C2" s="11"/>
      <c r="D2" s="97" t="s">
        <v>0</v>
      </c>
      <c r="E2" s="98"/>
      <c r="F2" s="13"/>
      <c r="G2" s="99" t="s">
        <v>1</v>
      </c>
      <c r="H2" s="99"/>
      <c r="I2" s="99"/>
      <c r="J2" s="100">
        <f ca="1">SUM(INDIRECT("J8:J"&amp;A1))</f>
        <v>59163410</v>
      </c>
      <c r="K2" s="100"/>
      <c r="L2" s="14"/>
      <c r="M2" s="14"/>
      <c r="N2" s="15"/>
      <c r="R2" s="32"/>
      <c r="S2" s="6" t="s">
        <v>1037</v>
      </c>
      <c r="T2" s="6" t="s">
        <v>1038</v>
      </c>
      <c r="U2" s="6" t="s">
        <v>1039</v>
      </c>
      <c r="V2" s="6" t="s">
        <v>1040</v>
      </c>
      <c r="W2" s="6" t="s">
        <v>1041</v>
      </c>
      <c r="X2" s="6" t="s">
        <v>1042</v>
      </c>
      <c r="Y2" s="6" t="s">
        <v>1043</v>
      </c>
      <c r="Z2" s="6" t="s">
        <v>1044</v>
      </c>
      <c r="AA2" s="6" t="s">
        <v>1045</v>
      </c>
      <c r="AB2" s="6" t="s">
        <v>1046</v>
      </c>
      <c r="AC2" s="6" t="s">
        <v>1047</v>
      </c>
      <c r="AD2" s="6" t="s">
        <v>1048</v>
      </c>
      <c r="AE2" s="6" t="s">
        <v>1049</v>
      </c>
      <c r="AF2" s="6" t="s">
        <v>1050</v>
      </c>
      <c r="AG2" s="6" t="s">
        <v>1051</v>
      </c>
    </row>
    <row r="3" spans="1:34" s="6" customFormat="1" ht="21" thickTop="1" thickBot="1" x14ac:dyDescent="0.35">
      <c r="D3" s="16" t="s">
        <v>1054</v>
      </c>
      <c r="E3" s="17"/>
      <c r="F3" s="9"/>
      <c r="G3" s="94" t="s">
        <v>2</v>
      </c>
      <c r="H3" s="94"/>
      <c r="I3" s="94"/>
      <c r="J3" s="95">
        <f ca="1">SUM(INDIRECT("L8:L"&amp;A1))</f>
        <v>59370570</v>
      </c>
      <c r="K3" s="95"/>
      <c r="N3" s="11"/>
      <c r="O3" s="29" t="s">
        <v>3</v>
      </c>
      <c r="P3" s="22"/>
      <c r="R3" s="6">
        <v>7003</v>
      </c>
      <c r="S3" s="34" t="s">
        <v>1296</v>
      </c>
      <c r="T3" s="34">
        <v>20260224</v>
      </c>
      <c r="U3" s="34">
        <v>7003</v>
      </c>
      <c r="V3" s="34" t="s">
        <v>1298</v>
      </c>
      <c r="W3" s="34" t="s">
        <v>1057</v>
      </c>
      <c r="X3" s="34" t="s">
        <v>1058</v>
      </c>
      <c r="Y3" s="34" t="s">
        <v>1059</v>
      </c>
      <c r="Z3" s="34" t="s">
        <v>1060</v>
      </c>
      <c r="AA3" s="34" t="s">
        <v>1075</v>
      </c>
      <c r="AB3" s="34" t="s">
        <v>1076</v>
      </c>
      <c r="AC3" s="34">
        <v>200</v>
      </c>
      <c r="AD3" s="34">
        <v>7547</v>
      </c>
      <c r="AE3" s="34">
        <v>1509400</v>
      </c>
      <c r="AF3" s="34" t="s">
        <v>1077</v>
      </c>
      <c r="AG3" s="34">
        <v>0</v>
      </c>
      <c r="AH3" s="6">
        <v>7547</v>
      </c>
    </row>
    <row r="4" spans="1:34" s="6" customFormat="1" ht="20.25" thickTop="1" x14ac:dyDescent="0.3">
      <c r="D4" s="18"/>
      <c r="E4" s="33">
        <v>18780</v>
      </c>
      <c r="G4" s="94" t="s">
        <v>4</v>
      </c>
      <c r="H4" s="94"/>
      <c r="I4" s="94"/>
      <c r="J4" s="95">
        <f ca="1">SUM(INDIRECT("M8:M"&amp;A1))</f>
        <v>207160</v>
      </c>
      <c r="K4" s="95"/>
      <c r="N4" s="11"/>
      <c r="O4" s="30">
        <v>0</v>
      </c>
      <c r="P4" s="22"/>
      <c r="R4" s="6">
        <v>7003</v>
      </c>
      <c r="S4" s="34" t="s">
        <v>1299</v>
      </c>
      <c r="T4" s="34">
        <v>20260224</v>
      </c>
      <c r="U4" s="34">
        <v>7003</v>
      </c>
      <c r="V4" s="34" t="s">
        <v>1298</v>
      </c>
      <c r="W4" s="34" t="s">
        <v>1057</v>
      </c>
      <c r="X4" s="34" t="s">
        <v>1179</v>
      </c>
      <c r="Y4" s="34" t="s">
        <v>1059</v>
      </c>
      <c r="Z4" s="34" t="s">
        <v>1060</v>
      </c>
      <c r="AA4" s="34" t="s">
        <v>1061</v>
      </c>
      <c r="AB4" s="34" t="s">
        <v>1062</v>
      </c>
      <c r="AC4" s="34">
        <v>100</v>
      </c>
      <c r="AD4" s="34">
        <v>7637.8</v>
      </c>
      <c r="AE4" s="34">
        <v>763780</v>
      </c>
      <c r="AF4" s="34" t="s">
        <v>1063</v>
      </c>
      <c r="AG4" s="34">
        <v>0</v>
      </c>
      <c r="AH4" s="6">
        <v>21609</v>
      </c>
    </row>
    <row r="5" spans="1:34" s="6" customFormat="1" ht="19.5" x14ac:dyDescent="0.3">
      <c r="D5" s="18"/>
      <c r="E5" s="19">
        <v>7</v>
      </c>
      <c r="G5" s="94" t="s">
        <v>5</v>
      </c>
      <c r="H5" s="94"/>
      <c r="I5" s="94"/>
      <c r="J5" s="96">
        <f ca="1">IF(ISERR(J3/J2),"データなし",(J3/J2)-100%)</f>
        <v>3.501488504465744E-3</v>
      </c>
      <c r="K5" s="96"/>
      <c r="N5" s="11"/>
      <c r="P5" s="22"/>
      <c r="R5" s="6">
        <v>7003</v>
      </c>
      <c r="S5" s="34" t="s">
        <v>1299</v>
      </c>
      <c r="T5" s="34">
        <v>20260224</v>
      </c>
      <c r="U5" s="34">
        <v>7003</v>
      </c>
      <c r="V5" s="34" t="s">
        <v>1298</v>
      </c>
      <c r="W5" s="34" t="s">
        <v>1057</v>
      </c>
      <c r="X5" s="34" t="s">
        <v>1179</v>
      </c>
      <c r="Y5" s="34" t="s">
        <v>1059</v>
      </c>
      <c r="Z5" s="34" t="s">
        <v>1060</v>
      </c>
      <c r="AA5" s="34" t="s">
        <v>1061</v>
      </c>
      <c r="AB5" s="34" t="s">
        <v>1062</v>
      </c>
      <c r="AC5" s="34">
        <v>100</v>
      </c>
      <c r="AD5" s="34">
        <v>7636.1</v>
      </c>
      <c r="AE5" s="34">
        <v>763610</v>
      </c>
      <c r="AF5" s="34" t="s">
        <v>1063</v>
      </c>
      <c r="AG5" s="34">
        <v>0</v>
      </c>
      <c r="AH5" s="6">
        <v>7636.95</v>
      </c>
    </row>
    <row r="6" spans="1:34" s="6" customFormat="1" ht="12" customHeight="1" thickBot="1" x14ac:dyDescent="0.3">
      <c r="D6" s="20"/>
      <c r="E6" s="21"/>
      <c r="N6" s="12"/>
      <c r="S6" s="34" t="s">
        <v>1295</v>
      </c>
      <c r="T6" s="34" t="s">
        <v>1295</v>
      </c>
      <c r="U6" s="34" t="s">
        <v>1295</v>
      </c>
      <c r="V6" s="34" t="s">
        <v>1295</v>
      </c>
      <c r="W6" s="34" t="s">
        <v>1295</v>
      </c>
      <c r="X6" s="34" t="s">
        <v>1295</v>
      </c>
      <c r="Y6" s="34" t="s">
        <v>1295</v>
      </c>
      <c r="Z6" s="34" t="s">
        <v>1295</v>
      </c>
      <c r="AA6" s="34" t="s">
        <v>1295</v>
      </c>
      <c r="AB6" s="34" t="s">
        <v>1295</v>
      </c>
      <c r="AC6" s="34" t="s">
        <v>1295</v>
      </c>
      <c r="AD6" s="34" t="s">
        <v>1295</v>
      </c>
      <c r="AE6" s="34" t="s">
        <v>1295</v>
      </c>
      <c r="AF6" s="34" t="s">
        <v>1295</v>
      </c>
      <c r="AG6" s="34" t="s">
        <v>1295</v>
      </c>
      <c r="AH6" s="6">
        <v>21880</v>
      </c>
    </row>
    <row r="7" spans="1:34" ht="30" thickTop="1" thickBot="1" x14ac:dyDescent="0.3">
      <c r="C7" s="86" t="s">
        <v>6</v>
      </c>
      <c r="D7" s="7" t="s">
        <v>1053</v>
      </c>
      <c r="E7" s="7" t="s">
        <v>7</v>
      </c>
      <c r="F7" s="7" t="s">
        <v>8</v>
      </c>
      <c r="G7" s="7" t="s">
        <v>9</v>
      </c>
      <c r="H7" s="7" t="s">
        <v>10</v>
      </c>
      <c r="I7" s="7" t="s">
        <v>11</v>
      </c>
      <c r="J7" s="7" t="s">
        <v>1052</v>
      </c>
      <c r="K7" s="7" t="s">
        <v>12</v>
      </c>
      <c r="L7" s="7" t="s">
        <v>13</v>
      </c>
      <c r="M7" s="7" t="s">
        <v>4</v>
      </c>
      <c r="N7" s="7" t="s">
        <v>5</v>
      </c>
      <c r="O7" s="8" t="s">
        <v>14</v>
      </c>
      <c r="R7" s="6"/>
      <c r="S7" s="34"/>
      <c r="T7" s="34"/>
      <c r="U7" s="34"/>
      <c r="V7" s="34"/>
      <c r="W7" s="34"/>
      <c r="X7" s="34"/>
      <c r="Y7" s="34"/>
      <c r="Z7" s="34"/>
      <c r="AA7" s="34"/>
      <c r="AB7" s="35"/>
      <c r="AC7" s="34"/>
      <c r="AD7" s="34"/>
      <c r="AE7" s="34"/>
      <c r="AF7" s="34"/>
      <c r="AG7" s="34"/>
      <c r="AH7">
        <v>21300</v>
      </c>
    </row>
    <row r="8" spans="1:34" s="6" customFormat="1" ht="13.5" customHeight="1" x14ac:dyDescent="0.25">
      <c r="A8" s="6" t="s">
        <v>1067</v>
      </c>
      <c r="B8" s="6" t="s">
        <v>1064</v>
      </c>
      <c r="C8" s="87" t="s">
        <v>1055</v>
      </c>
      <c r="D8" s="2" t="s">
        <v>1056</v>
      </c>
      <c r="E8" s="42" t="s">
        <v>1065</v>
      </c>
      <c r="F8" s="10" t="s">
        <v>1066</v>
      </c>
      <c r="G8" s="3">
        <v>200</v>
      </c>
      <c r="H8" s="4">
        <v>1107</v>
      </c>
      <c r="I8" s="4"/>
      <c r="J8" s="5">
        <f t="shared" ref="J8:J35" si="0">(G8*H8)+I8</f>
        <v>221400</v>
      </c>
      <c r="K8" s="4">
        <v>1117</v>
      </c>
      <c r="L8" s="5">
        <f t="shared" ref="L8:L35" si="1">G8*K8</f>
        <v>223400</v>
      </c>
      <c r="M8" s="25">
        <f t="shared" ref="M8:M35" si="2">IF(OR(H8="",K8=""),"\0",IF(B8="売",(J8-L8),(L8-J8)))</f>
        <v>2000</v>
      </c>
      <c r="N8" s="23">
        <f t="shared" ref="N8:N35" si="3">IF(ISERR(M8/J8),"データなし",(M8/J8))</f>
        <v>9.0334236675700084E-3</v>
      </c>
      <c r="O8" s="24">
        <f>IF(MID(E8,3,1)=".",
   IF(OR(LEFT(E8,5)=LEFT(E9,5),LEFT(E8,5)=TEXT(E9,"mm.dd")),"",SUM($M$8:M8)),
   IF(OR(TEXT(E8,"mm.dd")=LEFT(E9,5),TEXT(E8,"mm.dd")=TEXT(E9,"mm.dd")),"",SUM($M$8:M8)))</f>
        <v>2000</v>
      </c>
      <c r="S8" s="34"/>
      <c r="T8" s="34"/>
      <c r="U8" s="34"/>
      <c r="V8" s="34"/>
      <c r="W8" s="34"/>
      <c r="X8" s="34"/>
      <c r="Y8" s="34"/>
      <c r="Z8" s="34"/>
      <c r="AA8" s="34"/>
      <c r="AB8" s="34"/>
      <c r="AC8" s="34"/>
      <c r="AD8" s="34"/>
      <c r="AE8" s="34"/>
      <c r="AF8" s="34"/>
      <c r="AG8" s="34"/>
      <c r="AH8" s="6">
        <v>21890</v>
      </c>
    </row>
    <row r="9" spans="1:34" s="6" customFormat="1" ht="13.5" customHeight="1" x14ac:dyDescent="0.25">
      <c r="A9" s="6" t="s">
        <v>1084</v>
      </c>
      <c r="B9" s="6" t="s">
        <v>1064</v>
      </c>
      <c r="C9" s="87">
        <v>5803</v>
      </c>
      <c r="D9" s="2" t="s">
        <v>1074</v>
      </c>
      <c r="E9" s="42" t="s">
        <v>1080</v>
      </c>
      <c r="F9" s="10" t="s">
        <v>1081</v>
      </c>
      <c r="G9" s="3">
        <v>100</v>
      </c>
      <c r="H9" s="4">
        <v>20950</v>
      </c>
      <c r="I9" s="4"/>
      <c r="J9" s="5">
        <f t="shared" si="0"/>
        <v>2095000</v>
      </c>
      <c r="K9" s="4">
        <v>21035</v>
      </c>
      <c r="L9" s="5">
        <f t="shared" si="1"/>
        <v>2103500</v>
      </c>
      <c r="M9" s="25">
        <f t="shared" si="2"/>
        <v>8500</v>
      </c>
      <c r="N9" s="23">
        <f t="shared" si="3"/>
        <v>4.0572792362768492E-3</v>
      </c>
      <c r="O9" s="24" t="str">
        <f>IF(MID(E9,3,1)=".",
   IF(OR(LEFT(E9,5)=LEFT(E10,5),LEFT(E9,5)=TEXT(E10,"mm.dd")),"",SUM($M$8:M9)-SUM($O$8:O8)),
   IF(OR(TEXT(E9,"mm.dd")=LEFT(E10,5),TEXT(E9,"mm.dd")=TEXT(E10,"mm.dd")),"",SUM($M$8:M9)-SUM($O$8:O8)))</f>
        <v/>
      </c>
      <c r="S9" s="34"/>
      <c r="T9" s="34"/>
      <c r="U9" s="34"/>
      <c r="V9" s="34"/>
      <c r="W9" s="34"/>
      <c r="X9" s="34"/>
      <c r="Y9" s="34"/>
      <c r="Z9" s="34"/>
      <c r="AA9" s="34"/>
      <c r="AB9" s="34"/>
      <c r="AC9" s="34"/>
      <c r="AD9" s="34"/>
      <c r="AE9" s="34"/>
      <c r="AF9" s="34"/>
      <c r="AG9" s="34"/>
      <c r="AH9" s="6">
        <v>21944</v>
      </c>
    </row>
    <row r="10" spans="1:34" s="6" customFormat="1" ht="13.5" customHeight="1" x14ac:dyDescent="0.25">
      <c r="A10" s="6" t="s">
        <v>1085</v>
      </c>
      <c r="B10" s="6" t="s">
        <v>1064</v>
      </c>
      <c r="C10" s="87" t="s">
        <v>1078</v>
      </c>
      <c r="D10" s="2" t="s">
        <v>1079</v>
      </c>
      <c r="E10" s="42" t="s">
        <v>1082</v>
      </c>
      <c r="F10" s="10" t="s">
        <v>1083</v>
      </c>
      <c r="G10" s="3">
        <v>100</v>
      </c>
      <c r="H10" s="4">
        <v>20295</v>
      </c>
      <c r="I10" s="4"/>
      <c r="J10" s="5">
        <f t="shared" si="0"/>
        <v>2029500</v>
      </c>
      <c r="K10" s="4">
        <v>20385</v>
      </c>
      <c r="L10" s="5">
        <f t="shared" si="1"/>
        <v>2038500</v>
      </c>
      <c r="M10" s="25">
        <f t="shared" si="2"/>
        <v>9000</v>
      </c>
      <c r="N10" s="23">
        <f t="shared" si="3"/>
        <v>4.434589800443459E-3</v>
      </c>
      <c r="O10" s="24">
        <f>IF(MID(E10,3,1)=".",
   IF(OR(LEFT(E10,5)=LEFT(E11,5),LEFT(E10,5)=TEXT(E11,"mm.dd")),"",SUM($M$8:M10)-SUM($O$8:O9)),
   IF(OR(TEXT(E10,"mm.dd")=LEFT(E11,5),TEXT(E10,"mm.dd")=TEXT(E11,"mm.dd")),"",SUM($M$8:M10)-SUM($O$8:O9)))</f>
        <v>17500</v>
      </c>
      <c r="S10" s="34"/>
      <c r="T10" s="34"/>
      <c r="U10" s="34"/>
      <c r="V10" s="34"/>
      <c r="W10" s="34"/>
      <c r="X10" s="34"/>
      <c r="Y10" s="34"/>
      <c r="Z10" s="34"/>
      <c r="AA10" s="34"/>
      <c r="AB10" s="34"/>
      <c r="AC10" s="34"/>
      <c r="AD10" s="34"/>
      <c r="AE10" s="34"/>
      <c r="AF10" s="34"/>
      <c r="AG10" s="34"/>
      <c r="AH10" s="6">
        <v>21645</v>
      </c>
    </row>
    <row r="11" spans="1:34" s="6" customFormat="1" ht="13.5" customHeight="1" x14ac:dyDescent="0.25">
      <c r="A11" s="6" t="s">
        <v>1098</v>
      </c>
      <c r="B11" s="6" t="s">
        <v>1064</v>
      </c>
      <c r="C11" s="87">
        <v>5803</v>
      </c>
      <c r="D11" s="2" t="s">
        <v>1074</v>
      </c>
      <c r="E11" s="42" t="s">
        <v>1094</v>
      </c>
      <c r="F11" s="10" t="s">
        <v>1095</v>
      </c>
      <c r="G11" s="3">
        <v>100</v>
      </c>
      <c r="H11" s="4">
        <v>22279.9</v>
      </c>
      <c r="I11" s="4"/>
      <c r="J11" s="5">
        <f t="shared" si="0"/>
        <v>2227990</v>
      </c>
      <c r="K11" s="4">
        <v>22335</v>
      </c>
      <c r="L11" s="5">
        <f t="shared" si="1"/>
        <v>2233500</v>
      </c>
      <c r="M11" s="25">
        <f t="shared" si="2"/>
        <v>5510</v>
      </c>
      <c r="N11" s="23">
        <f t="shared" si="3"/>
        <v>2.4730811179583391E-3</v>
      </c>
      <c r="O11" s="24" t="str">
        <f>IF(MID(E11,3,1)=".",
   IF(OR(LEFT(E11,5)=LEFT(E12,5),LEFT(E11,5)=TEXT(E12,"mm.dd")),"",SUM($M$8:M11)-SUM($O$8:O10)),
   IF(OR(TEXT(E11,"mm.dd")=LEFT(E12,5),TEXT(E11,"mm.dd")=TEXT(E12,"mm.dd")),"",SUM($M$8:M11)-SUM($O$8:O10)))</f>
        <v/>
      </c>
      <c r="S11" s="34"/>
      <c r="T11" s="34"/>
      <c r="U11" s="34"/>
      <c r="V11" s="34"/>
      <c r="W11" s="34"/>
      <c r="X11" s="34"/>
      <c r="Y11" s="34"/>
      <c r="Z11" s="34"/>
      <c r="AA11" s="34"/>
      <c r="AB11" s="34"/>
      <c r="AC11" s="34"/>
      <c r="AD11" s="34"/>
      <c r="AE11" s="34"/>
      <c r="AF11" s="34"/>
      <c r="AG11" s="34"/>
    </row>
    <row r="12" spans="1:34" s="6" customFormat="1" ht="13.5" customHeight="1" x14ac:dyDescent="0.25">
      <c r="A12" s="6" t="s">
        <v>1099</v>
      </c>
      <c r="B12" s="6" t="s">
        <v>1064</v>
      </c>
      <c r="C12" s="87" t="s">
        <v>1078</v>
      </c>
      <c r="D12" s="2" t="s">
        <v>1079</v>
      </c>
      <c r="E12" s="42" t="s">
        <v>1096</v>
      </c>
      <c r="F12" s="10" t="s">
        <v>1097</v>
      </c>
      <c r="G12" s="3">
        <v>100</v>
      </c>
      <c r="H12" s="4">
        <v>20914.5</v>
      </c>
      <c r="I12" s="4"/>
      <c r="J12" s="5">
        <f t="shared" si="0"/>
        <v>2091450</v>
      </c>
      <c r="K12" s="4">
        <v>21015</v>
      </c>
      <c r="L12" s="5">
        <f t="shared" si="1"/>
        <v>2101500</v>
      </c>
      <c r="M12" s="25">
        <f t="shared" si="2"/>
        <v>10050</v>
      </c>
      <c r="N12" s="23">
        <f t="shared" si="3"/>
        <v>4.8052786344402205E-3</v>
      </c>
      <c r="O12" s="24">
        <f>IF(MID(E12,3,1)=".",
   IF(OR(LEFT(E12,5)=LEFT(E13,5),LEFT(E12,5)=TEXT(E13,"mm.dd")),"",SUM($M$8:M12)-SUM($O$8:O11)),
   IF(OR(TEXT(E12,"mm.dd")=LEFT(E13,5),TEXT(E12,"mm.dd")=TEXT(E13,"mm.dd")),"",SUM($M$8:M12)-SUM($O$8:O11)))</f>
        <v>15560</v>
      </c>
    </row>
    <row r="13" spans="1:34" s="6" customFormat="1" ht="13.5" customHeight="1" x14ac:dyDescent="0.25">
      <c r="A13" s="6" t="s">
        <v>1108</v>
      </c>
      <c r="B13" s="6" t="s">
        <v>1064</v>
      </c>
      <c r="C13" s="87">
        <v>5803</v>
      </c>
      <c r="D13" s="2" t="s">
        <v>1074</v>
      </c>
      <c r="E13" s="42" t="s">
        <v>1106</v>
      </c>
      <c r="F13" s="10" t="s">
        <v>1107</v>
      </c>
      <c r="G13" s="3">
        <v>100</v>
      </c>
      <c r="H13" s="4">
        <v>22490</v>
      </c>
      <c r="I13" s="4"/>
      <c r="J13" s="5">
        <f t="shared" si="0"/>
        <v>2249000</v>
      </c>
      <c r="K13" s="4">
        <v>22616.9</v>
      </c>
      <c r="L13" s="5">
        <f t="shared" si="1"/>
        <v>2261690</v>
      </c>
      <c r="M13" s="25">
        <f t="shared" si="2"/>
        <v>12690</v>
      </c>
      <c r="N13" s="23">
        <f t="shared" si="3"/>
        <v>5.6425077812361051E-3</v>
      </c>
      <c r="O13" s="24" t="str">
        <f>IF(MID(E13,3,1)=".",
   IF(OR(LEFT(E13,5)=LEFT(E14,5),LEFT(E13,5)=TEXT(E14,"mm.dd")),"",SUM($M$8:M13)-SUM($O$8:O12)),
   IF(OR(TEXT(E13,"mm.dd")=LEFT(E14,5),TEXT(E13,"mm.dd")=TEXT(E14,"mm.dd")),"",SUM($M$8:M13)-SUM($O$8:O12)))</f>
        <v/>
      </c>
    </row>
    <row r="14" spans="1:34" s="6" customFormat="1" ht="13.5" customHeight="1" x14ac:dyDescent="0.25">
      <c r="A14" s="6" t="s">
        <v>1115</v>
      </c>
      <c r="B14" s="6" t="s">
        <v>1064</v>
      </c>
      <c r="C14" s="87">
        <v>5803</v>
      </c>
      <c r="D14" s="2" t="s">
        <v>1074</v>
      </c>
      <c r="E14" s="42" t="s">
        <v>1109</v>
      </c>
      <c r="F14" s="10" t="s">
        <v>1110</v>
      </c>
      <c r="G14" s="3">
        <v>100</v>
      </c>
      <c r="H14" s="4">
        <v>22434.1</v>
      </c>
      <c r="I14" s="4"/>
      <c r="J14" s="5">
        <f t="shared" si="0"/>
        <v>2243410</v>
      </c>
      <c r="K14" s="4">
        <v>22495</v>
      </c>
      <c r="L14" s="5">
        <f t="shared" si="1"/>
        <v>2249500</v>
      </c>
      <c r="M14" s="25">
        <f t="shared" si="2"/>
        <v>6090</v>
      </c>
      <c r="N14" s="23">
        <f t="shared" si="3"/>
        <v>2.714617479640369E-3</v>
      </c>
      <c r="O14" s="24">
        <f>IF(MID(E14,3,1)=".",
   IF(OR(LEFT(E14,5)=LEFT(E15,5),LEFT(E14,5)=TEXT(E15,"mm.dd")),"",SUM($M$8:M14)-SUM($O$8:O13)),
   IF(OR(TEXT(E14,"mm.dd")=LEFT(E15,5),TEXT(E14,"mm.dd")=TEXT(E15,"mm.dd")),"",SUM($M$8:M14)-SUM($O$8:O13)))</f>
        <v>18780</v>
      </c>
    </row>
    <row r="15" spans="1:34" s="6" customFormat="1" ht="13.5" customHeight="1" x14ac:dyDescent="0.25">
      <c r="A15" s="6" t="s">
        <v>1118</v>
      </c>
      <c r="B15" s="6" t="s">
        <v>1064</v>
      </c>
      <c r="C15" s="87">
        <v>5803</v>
      </c>
      <c r="D15" s="2" t="s">
        <v>1074</v>
      </c>
      <c r="E15" s="42" t="s">
        <v>1116</v>
      </c>
      <c r="F15" s="10" t="s">
        <v>1117</v>
      </c>
      <c r="G15" s="3">
        <v>100</v>
      </c>
      <c r="H15" s="4">
        <v>21495</v>
      </c>
      <c r="I15" s="4"/>
      <c r="J15" s="5">
        <f t="shared" si="0"/>
        <v>2149500</v>
      </c>
      <c r="K15" s="4">
        <v>21545</v>
      </c>
      <c r="L15" s="5">
        <f t="shared" si="1"/>
        <v>2154500</v>
      </c>
      <c r="M15" s="25">
        <f t="shared" si="2"/>
        <v>5000</v>
      </c>
      <c r="N15" s="23">
        <f t="shared" si="3"/>
        <v>2.3261223540358223E-3</v>
      </c>
      <c r="O15" s="24" t="str">
        <f>IF(MID(E15,3,1)=".",
   IF(OR(LEFT(E15,5)=LEFT(E16,5),LEFT(E15,5)=TEXT(E16,"mm.dd")),"",SUM($M$8:M15)-SUM($O$8:O14)),
   IF(OR(TEXT(E15,"mm.dd")=LEFT(E16,5),TEXT(E15,"mm.dd")=TEXT(E16,"mm.dd")),"",SUM($M$8:M15)-SUM($O$8:O14)))</f>
        <v/>
      </c>
    </row>
    <row r="16" spans="1:34" s="6" customFormat="1" ht="13.5" customHeight="1" x14ac:dyDescent="0.25">
      <c r="A16" s="6" t="s">
        <v>1163</v>
      </c>
      <c r="B16" s="6" t="s">
        <v>1064</v>
      </c>
      <c r="C16" s="87">
        <v>5803</v>
      </c>
      <c r="D16" s="2" t="s">
        <v>1074</v>
      </c>
      <c r="E16" s="42" t="s">
        <v>1120</v>
      </c>
      <c r="F16" s="10" t="s">
        <v>1121</v>
      </c>
      <c r="G16" s="3">
        <v>100</v>
      </c>
      <c r="H16" s="4">
        <v>21571.8</v>
      </c>
      <c r="I16" s="4"/>
      <c r="J16" s="5">
        <f t="shared" si="0"/>
        <v>2157180</v>
      </c>
      <c r="K16" s="4">
        <v>21590</v>
      </c>
      <c r="L16" s="5">
        <f t="shared" si="1"/>
        <v>2159000</v>
      </c>
      <c r="M16" s="25">
        <f t="shared" si="2"/>
        <v>1820</v>
      </c>
      <c r="N16" s="23">
        <f t="shared" si="3"/>
        <v>8.436940820886528E-4</v>
      </c>
      <c r="O16" s="24" t="str">
        <f>IF(MID(E16,3,1)=".",
   IF(OR(LEFT(E16,5)=LEFT(E17,5),LEFT(E16,5)=TEXT(E17,"mm.dd")),"",SUM($M$8:M16)-SUM($O$8:O15)),
   IF(OR(TEXT(E16,"mm.dd")=LEFT(E17,5),TEXT(E16,"mm.dd")=TEXT(E17,"mm.dd")),"",SUM($M$8:M16)-SUM($O$8:O15)))</f>
        <v/>
      </c>
    </row>
    <row r="17" spans="1:16" s="6" customFormat="1" ht="13.5" customHeight="1" x14ac:dyDescent="0.25">
      <c r="A17" s="6" t="s">
        <v>1164</v>
      </c>
      <c r="B17" s="6" t="s">
        <v>1064</v>
      </c>
      <c r="C17" s="87">
        <v>5803</v>
      </c>
      <c r="D17" s="2" t="s">
        <v>1074</v>
      </c>
      <c r="E17" s="42" t="s">
        <v>1122</v>
      </c>
      <c r="F17" s="10" t="s">
        <v>1123</v>
      </c>
      <c r="G17" s="3">
        <v>100</v>
      </c>
      <c r="H17" s="4">
        <v>21620</v>
      </c>
      <c r="I17" s="4"/>
      <c r="J17" s="5">
        <f t="shared" si="0"/>
        <v>2162000</v>
      </c>
      <c r="K17" s="4">
        <v>21690</v>
      </c>
      <c r="L17" s="5">
        <f t="shared" si="1"/>
        <v>2169000</v>
      </c>
      <c r="M17" s="25">
        <f t="shared" si="2"/>
        <v>7000</v>
      </c>
      <c r="N17" s="23">
        <f t="shared" si="3"/>
        <v>3.2377428307123032E-3</v>
      </c>
      <c r="O17" s="24">
        <f>IF(MID(E17,3,1)=".",
   IF(OR(LEFT(E17,5)=LEFT(E18,5),LEFT(E17,5)=TEXT(E18,"mm.dd")),"",SUM($M$8:M17)-SUM($O$8:O16)),
   IF(OR(TEXT(E17,"mm.dd")=LEFT(E18,5),TEXT(E17,"mm.dd")=TEXT(E18,"mm.dd")),"",SUM($M$8:M17)-SUM($O$8:O16)))</f>
        <v>13820</v>
      </c>
    </row>
    <row r="18" spans="1:16" s="6" customFormat="1" ht="13.5" customHeight="1" x14ac:dyDescent="0.25">
      <c r="A18" s="6" t="s">
        <v>1182</v>
      </c>
      <c r="B18" s="6" t="s">
        <v>1064</v>
      </c>
      <c r="C18" s="87">
        <v>5803</v>
      </c>
      <c r="D18" s="2" t="s">
        <v>1074</v>
      </c>
      <c r="E18" s="42" t="s">
        <v>1177</v>
      </c>
      <c r="F18" s="10" t="s">
        <v>1178</v>
      </c>
      <c r="G18" s="3">
        <v>100</v>
      </c>
      <c r="H18" s="4">
        <v>23430</v>
      </c>
      <c r="I18" s="4"/>
      <c r="J18" s="5">
        <f t="shared" si="0"/>
        <v>2343000</v>
      </c>
      <c r="K18" s="4">
        <v>23570</v>
      </c>
      <c r="L18" s="5">
        <f t="shared" si="1"/>
        <v>2357000</v>
      </c>
      <c r="M18" s="25">
        <f t="shared" si="2"/>
        <v>14000</v>
      </c>
      <c r="N18" s="23">
        <f t="shared" si="3"/>
        <v>5.9752454118651302E-3</v>
      </c>
      <c r="O18" s="24" t="str">
        <f>IF(MID(E18,3,1)=".",
   IF(OR(LEFT(E18,5)=LEFT(E19,5),LEFT(E18,5)=TEXT(E19,"mm.dd")),"",SUM($M$8:M18)-SUM($O$8:O17)),
   IF(OR(TEXT(E18,"mm.dd")=LEFT(E19,5),TEXT(E18,"mm.dd")=TEXT(E19,"mm.dd")),"",SUM($M$8:M18)-SUM($O$8:O17)))</f>
        <v/>
      </c>
    </row>
    <row r="19" spans="1:16" s="6" customFormat="1" ht="13.5" customHeight="1" x14ac:dyDescent="0.25">
      <c r="A19" s="6" t="s">
        <v>1183</v>
      </c>
      <c r="B19" s="6" t="s">
        <v>1064</v>
      </c>
      <c r="C19" s="87">
        <v>5803</v>
      </c>
      <c r="D19" s="2" t="s">
        <v>1074</v>
      </c>
      <c r="E19" s="42" t="s">
        <v>1180</v>
      </c>
      <c r="F19" s="10" t="s">
        <v>1181</v>
      </c>
      <c r="G19" s="3">
        <v>100</v>
      </c>
      <c r="H19" s="4">
        <v>24084.9</v>
      </c>
      <c r="I19" s="4"/>
      <c r="J19" s="5">
        <f t="shared" si="0"/>
        <v>2408490</v>
      </c>
      <c r="K19" s="4">
        <v>24200</v>
      </c>
      <c r="L19" s="5">
        <f t="shared" si="1"/>
        <v>2420000</v>
      </c>
      <c r="M19" s="25">
        <f t="shared" si="2"/>
        <v>11510</v>
      </c>
      <c r="N19" s="23">
        <f t="shared" si="3"/>
        <v>4.7789278759720819E-3</v>
      </c>
      <c r="O19" s="24">
        <f>IF(MID(E19,3,1)=".",
   IF(OR(LEFT(E19,5)=LEFT(E20,5),LEFT(E19,5)=TEXT(E20,"mm.dd")),"",SUM($M$8:M19)-SUM($O$8:O18)),
   IF(OR(TEXT(E19,"mm.dd")=LEFT(E20,5),TEXT(E19,"mm.dd")=TEXT(E20,"mm.dd")),"",SUM($M$8:M19)-SUM($O$8:O18)))</f>
        <v>25510</v>
      </c>
    </row>
    <row r="20" spans="1:16" s="6" customFormat="1" ht="13.5" customHeight="1" x14ac:dyDescent="0.25">
      <c r="A20" s="6" t="s">
        <v>1201</v>
      </c>
      <c r="B20" s="6" t="s">
        <v>1064</v>
      </c>
      <c r="C20" s="87">
        <v>5803</v>
      </c>
      <c r="D20" s="2" t="s">
        <v>1074</v>
      </c>
      <c r="E20" s="42" t="s">
        <v>1192</v>
      </c>
      <c r="F20" s="10" t="s">
        <v>1193</v>
      </c>
      <c r="G20" s="3">
        <v>100</v>
      </c>
      <c r="H20" s="4">
        <v>23310</v>
      </c>
      <c r="I20" s="4"/>
      <c r="J20" s="5">
        <f t="shared" si="0"/>
        <v>2331000</v>
      </c>
      <c r="K20" s="4">
        <v>23635</v>
      </c>
      <c r="L20" s="5">
        <f t="shared" si="1"/>
        <v>2363500</v>
      </c>
      <c r="M20" s="25">
        <f t="shared" si="2"/>
        <v>32500</v>
      </c>
      <c r="N20" s="23">
        <f t="shared" si="3"/>
        <v>1.3942513942513942E-2</v>
      </c>
      <c r="O20" s="61" t="str">
        <f>IF(MID(E20,3,1)=".",
   IF(OR(LEFT(E20,5)=LEFT(E21,5),LEFT(E20,5)=TEXT(E21,"mm.dd")),"",SUM($M$8:M20)-SUM($O$8:O19)),
   IF(OR(TEXT(E20,"mm.dd")=LEFT(E21,5),TEXT(E20,"mm.dd")=TEXT(E21,"mm.dd")),"",SUM($M$8:M20)-SUM($O$8:O19)))</f>
        <v/>
      </c>
    </row>
    <row r="21" spans="1:16" s="6" customFormat="1" ht="13.5" customHeight="1" x14ac:dyDescent="0.25">
      <c r="A21" s="6" t="s">
        <v>1202</v>
      </c>
      <c r="B21" s="6" t="s">
        <v>1064</v>
      </c>
      <c r="C21" s="87">
        <v>5803</v>
      </c>
      <c r="D21" s="2" t="s">
        <v>1074</v>
      </c>
      <c r="E21" s="42" t="s">
        <v>1194</v>
      </c>
      <c r="F21" s="10" t="s">
        <v>1195</v>
      </c>
      <c r="G21" s="3">
        <v>100</v>
      </c>
      <c r="H21" s="4">
        <v>23520</v>
      </c>
      <c r="I21" s="4"/>
      <c r="J21" s="5">
        <f t="shared" si="0"/>
        <v>2352000</v>
      </c>
      <c r="K21" s="4">
        <v>23475</v>
      </c>
      <c r="L21" s="5">
        <f t="shared" si="1"/>
        <v>2347500</v>
      </c>
      <c r="M21" s="25">
        <f t="shared" si="2"/>
        <v>-4500</v>
      </c>
      <c r="N21" s="23">
        <f t="shared" si="3"/>
        <v>-1.9132653061224489E-3</v>
      </c>
      <c r="O21" s="61" t="str">
        <f>IF(MID(E21,3,1)=".",
   IF(OR(LEFT(E21,5)=LEFT(E22,5),LEFT(E21,5)=TEXT(E22,"mm.dd")),"",SUM($M$8:M21)-SUM($O$8:O20)),
   IF(OR(TEXT(E21,"mm.dd")=LEFT(E22,5),TEXT(E21,"mm.dd")=TEXT(E22,"mm.dd")),"",SUM($M$8:M21)-SUM($O$8:O20)))</f>
        <v/>
      </c>
      <c r="P21" s="6" t="s">
        <v>1200</v>
      </c>
    </row>
    <row r="22" spans="1:16" s="6" customFormat="1" ht="13.5" customHeight="1" x14ac:dyDescent="0.25">
      <c r="A22" s="6" t="s">
        <v>1203</v>
      </c>
      <c r="B22" s="6" t="s">
        <v>1064</v>
      </c>
      <c r="C22" s="87">
        <v>5803</v>
      </c>
      <c r="D22" s="2" t="s">
        <v>1074</v>
      </c>
      <c r="E22" s="42" t="s">
        <v>1196</v>
      </c>
      <c r="F22" s="10" t="s">
        <v>1197</v>
      </c>
      <c r="G22" s="3">
        <v>100</v>
      </c>
      <c r="H22" s="4">
        <v>23525</v>
      </c>
      <c r="I22" s="4"/>
      <c r="J22" s="5">
        <f t="shared" si="0"/>
        <v>2352500</v>
      </c>
      <c r="K22" s="4">
        <v>23555.200000000001</v>
      </c>
      <c r="L22" s="5">
        <f t="shared" si="1"/>
        <v>2355520</v>
      </c>
      <c r="M22" s="25">
        <f t="shared" si="2"/>
        <v>3020</v>
      </c>
      <c r="N22" s="23">
        <f t="shared" si="3"/>
        <v>1.2837407013815091E-3</v>
      </c>
      <c r="O22" s="61" t="str">
        <f>IF(MID(E22,3,1)=".",
   IF(OR(LEFT(E22,5)=LEFT(E23,5),LEFT(E22,5)=TEXT(E23,"mm.dd")),"",SUM($M$8:M22)-SUM($O$8:O21)),
   IF(OR(TEXT(E22,"mm.dd")=LEFT(E23,5),TEXT(E22,"mm.dd")=TEXT(E23,"mm.dd")),"",SUM($M$8:M22)-SUM($O$8:O21)))</f>
        <v/>
      </c>
    </row>
    <row r="23" spans="1:16" s="6" customFormat="1" ht="13.5" customHeight="1" x14ac:dyDescent="0.25">
      <c r="A23" s="6" t="s">
        <v>1204</v>
      </c>
      <c r="B23" s="6" t="s">
        <v>1064</v>
      </c>
      <c r="C23" s="87">
        <v>5803</v>
      </c>
      <c r="D23" s="2" t="s">
        <v>1074</v>
      </c>
      <c r="E23" s="42" t="s">
        <v>1198</v>
      </c>
      <c r="F23" s="10" t="s">
        <v>1199</v>
      </c>
      <c r="G23" s="3">
        <v>100</v>
      </c>
      <c r="H23" s="4">
        <v>23165</v>
      </c>
      <c r="I23" s="4"/>
      <c r="J23" s="5">
        <f t="shared" si="0"/>
        <v>2316500</v>
      </c>
      <c r="K23" s="4">
        <v>23200</v>
      </c>
      <c r="L23" s="5">
        <f t="shared" si="1"/>
        <v>2320000</v>
      </c>
      <c r="M23" s="25">
        <f t="shared" si="2"/>
        <v>3500</v>
      </c>
      <c r="N23" s="23">
        <f t="shared" si="3"/>
        <v>1.5109000647528599E-3</v>
      </c>
      <c r="O23" s="24">
        <f>IF(MID(E23,3,1)=".",
   IF(OR(LEFT(E23,5)=LEFT(E24,5),LEFT(E23,5)=TEXT(E24,"mm.dd")),"",SUM($M$8:M23)-SUM($O$8:O22)),
   IF(OR(TEXT(E23,"mm.dd")=LEFT(E24,5),TEXT(E23,"mm.dd")=TEXT(E24,"mm.dd")),"",SUM($M$8:M23)-SUM($O$8:O22)))</f>
        <v>34520</v>
      </c>
    </row>
    <row r="24" spans="1:16" s="6" customFormat="1" ht="13.5" customHeight="1" x14ac:dyDescent="0.25">
      <c r="A24" s="6" t="s">
        <v>1218</v>
      </c>
      <c r="B24" s="6" t="s">
        <v>1064</v>
      </c>
      <c r="C24" s="87">
        <v>5801</v>
      </c>
      <c r="D24" s="2" t="s">
        <v>1212</v>
      </c>
      <c r="E24" s="42" t="s">
        <v>1214</v>
      </c>
      <c r="F24" s="10" t="s">
        <v>1215</v>
      </c>
      <c r="G24" s="3">
        <v>100</v>
      </c>
      <c r="H24" s="4">
        <v>21385</v>
      </c>
      <c r="I24" s="4"/>
      <c r="J24" s="5">
        <f t="shared" si="0"/>
        <v>2138500</v>
      </c>
      <c r="K24" s="4">
        <v>21540</v>
      </c>
      <c r="L24" s="5">
        <f t="shared" si="1"/>
        <v>2154000</v>
      </c>
      <c r="M24" s="25">
        <f t="shared" si="2"/>
        <v>15500</v>
      </c>
      <c r="N24" s="23">
        <f t="shared" si="3"/>
        <v>7.2480710778583118E-3</v>
      </c>
      <c r="O24" s="61" t="str">
        <f>IF(MID(E24,3,1)=".",
   IF(OR(LEFT(E24,5)=LEFT(E25,5),LEFT(E24,5)=TEXT(E25,"mm.dd")),"",SUM($M$8:M24)-SUM($O$8:O23)),
   IF(OR(TEXT(E24,"mm.dd")=LEFT(E25,5),TEXT(E24,"mm.dd")=TEXT(E25,"mm.dd")),"",SUM($M$8:M24)-SUM($O$8:O23)))</f>
        <v/>
      </c>
    </row>
    <row r="25" spans="1:16" s="6" customFormat="1" ht="13.5" customHeight="1" x14ac:dyDescent="0.25">
      <c r="A25" s="6" t="s">
        <v>1221</v>
      </c>
      <c r="B25" s="6" t="s">
        <v>1064</v>
      </c>
      <c r="C25" s="87">
        <v>5713</v>
      </c>
      <c r="D25" s="2" t="s">
        <v>1213</v>
      </c>
      <c r="E25" s="42" t="s">
        <v>1216</v>
      </c>
      <c r="F25" s="10" t="s">
        <v>1217</v>
      </c>
      <c r="G25" s="3">
        <v>100</v>
      </c>
      <c r="H25" s="4">
        <v>10610</v>
      </c>
      <c r="I25" s="4"/>
      <c r="J25" s="5">
        <f t="shared" si="0"/>
        <v>1061000</v>
      </c>
      <c r="K25" s="4">
        <v>10655</v>
      </c>
      <c r="L25" s="5">
        <f t="shared" si="1"/>
        <v>1065500</v>
      </c>
      <c r="M25" s="25">
        <f t="shared" si="2"/>
        <v>4500</v>
      </c>
      <c r="N25" s="23">
        <f t="shared" si="3"/>
        <v>4.2412818096135719E-3</v>
      </c>
      <c r="O25" s="24">
        <f>IF(MID(E25,3,1)=".",
   IF(OR(LEFT(E25,5)=LEFT(E26,5),LEFT(E25,5)=TEXT(E26,"mm.dd")),"",SUM($M$8:M25)-SUM($O$8:O24)),
   IF(OR(TEXT(E25,"mm.dd")=LEFT(E26,5),TEXT(E25,"mm.dd")=TEXT(E26,"mm.dd")),"",SUM($M$8:M25)-SUM($O$8:O24)))</f>
        <v>20000</v>
      </c>
    </row>
    <row r="26" spans="1:16" s="6" customFormat="1" ht="13.5" customHeight="1" x14ac:dyDescent="0.25">
      <c r="A26" s="6" t="s">
        <v>1235</v>
      </c>
      <c r="B26" s="6" t="s">
        <v>1064</v>
      </c>
      <c r="C26" s="87" t="s">
        <v>1078</v>
      </c>
      <c r="D26" s="2" t="s">
        <v>1293</v>
      </c>
      <c r="E26" s="42" t="s">
        <v>1227</v>
      </c>
      <c r="F26" s="10" t="s">
        <v>1228</v>
      </c>
      <c r="G26" s="3">
        <v>100</v>
      </c>
      <c r="H26" s="4">
        <v>23869</v>
      </c>
      <c r="I26" s="4"/>
      <c r="J26" s="5">
        <f t="shared" si="0"/>
        <v>2386900</v>
      </c>
      <c r="K26" s="4">
        <v>24065</v>
      </c>
      <c r="L26" s="5">
        <f t="shared" si="1"/>
        <v>2406500</v>
      </c>
      <c r="M26" s="25">
        <f t="shared" si="2"/>
        <v>19600</v>
      </c>
      <c r="N26" s="23">
        <f t="shared" si="3"/>
        <v>8.2114877037161166E-3</v>
      </c>
      <c r="O26" s="61" t="str">
        <f>IF(MID(E26,3,1)=".",
   IF(OR(LEFT(E26,5)=LEFT(E27,5),LEFT(E26,5)=TEXT(E27,"mm.dd")),"",SUM($M$8:M26)-SUM($O$8:O25)),
   IF(OR(TEXT(E26,"mm.dd")=LEFT(E27,5),TEXT(E26,"mm.dd")=TEXT(E27,"mm.dd")),"",SUM($M$8:M26)-SUM($O$8:O25)))</f>
        <v/>
      </c>
    </row>
    <row r="27" spans="1:16" s="6" customFormat="1" ht="13.5" customHeight="1" x14ac:dyDescent="0.25">
      <c r="A27" s="6" t="s">
        <v>1238</v>
      </c>
      <c r="B27" s="6" t="s">
        <v>1064</v>
      </c>
      <c r="C27" s="87">
        <v>5803</v>
      </c>
      <c r="D27" s="2" t="s">
        <v>1074</v>
      </c>
      <c r="E27" s="42" t="s">
        <v>1229</v>
      </c>
      <c r="F27" s="10" t="s">
        <v>1230</v>
      </c>
      <c r="G27" s="3">
        <v>100</v>
      </c>
      <c r="H27" s="4">
        <v>22695</v>
      </c>
      <c r="I27" s="4"/>
      <c r="J27" s="5">
        <f t="shared" si="0"/>
        <v>2269500</v>
      </c>
      <c r="K27" s="4">
        <v>22550</v>
      </c>
      <c r="L27" s="5">
        <f t="shared" si="1"/>
        <v>2255000</v>
      </c>
      <c r="M27" s="25">
        <f t="shared" si="2"/>
        <v>-14500</v>
      </c>
      <c r="N27" s="23">
        <f t="shared" si="3"/>
        <v>-6.3890724829257549E-3</v>
      </c>
      <c r="O27" s="61" t="str">
        <f>IF(MID(E27,3,1)=".",
   IF(OR(LEFT(E27,5)=LEFT(E28,5),LEFT(E27,5)=TEXT(E28,"mm.dd")),"",SUM($M$8:M27)-SUM($O$8:O26)),
   IF(OR(TEXT(E27,"mm.dd")=LEFT(E28,5),TEXT(E27,"mm.dd")=TEXT(E28,"mm.dd")),"",SUM($M$8:M27)-SUM($O$8:O26)))</f>
        <v/>
      </c>
    </row>
    <row r="28" spans="1:16" s="6" customFormat="1" ht="13.5" customHeight="1" x14ac:dyDescent="0.25">
      <c r="A28" s="6" t="s">
        <v>1240</v>
      </c>
      <c r="B28" s="6" t="s">
        <v>1064</v>
      </c>
      <c r="C28" s="87" t="s">
        <v>1078</v>
      </c>
      <c r="D28" s="2" t="s">
        <v>1079</v>
      </c>
      <c r="E28" s="42" t="s">
        <v>1231</v>
      </c>
      <c r="F28" s="10" t="s">
        <v>1232</v>
      </c>
      <c r="G28" s="3">
        <v>100</v>
      </c>
      <c r="H28" s="4">
        <v>23090</v>
      </c>
      <c r="I28" s="4"/>
      <c r="J28" s="5">
        <f t="shared" si="0"/>
        <v>2309000</v>
      </c>
      <c r="K28" s="4">
        <v>23200</v>
      </c>
      <c r="L28" s="5">
        <f t="shared" si="1"/>
        <v>2320000</v>
      </c>
      <c r="M28" s="25">
        <f t="shared" si="2"/>
        <v>11000</v>
      </c>
      <c r="N28" s="23">
        <f t="shared" si="3"/>
        <v>4.7639670853183193E-3</v>
      </c>
      <c r="O28" s="61" t="str">
        <f>IF(MID(E28,3,1)=".",
   IF(OR(LEFT(E28,5)=LEFT(E29,5),LEFT(E28,5)=TEXT(E29,"mm.dd")),"",SUM($M$8:M28)-SUM($O$8:O27)),
   IF(OR(TEXT(E28,"mm.dd")=LEFT(E29,5),TEXT(E28,"mm.dd")=TEXT(E29,"mm.dd")),"",SUM($M$8:M28)-SUM($O$8:O27)))</f>
        <v/>
      </c>
    </row>
    <row r="29" spans="1:16" s="6" customFormat="1" ht="13.5" customHeight="1" x14ac:dyDescent="0.25">
      <c r="A29" s="6" t="s">
        <v>1244</v>
      </c>
      <c r="B29" s="6" t="s">
        <v>1064</v>
      </c>
      <c r="C29" s="87">
        <v>5801</v>
      </c>
      <c r="D29" s="2" t="s">
        <v>1212</v>
      </c>
      <c r="E29" s="42" t="s">
        <v>1233</v>
      </c>
      <c r="F29" s="10" t="s">
        <v>1234</v>
      </c>
      <c r="G29" s="3">
        <v>100</v>
      </c>
      <c r="H29" s="4">
        <v>21570</v>
      </c>
      <c r="I29" s="4"/>
      <c r="J29" s="5">
        <f t="shared" si="0"/>
        <v>2157000</v>
      </c>
      <c r="K29" s="4">
        <v>21645</v>
      </c>
      <c r="L29" s="5">
        <f t="shared" si="1"/>
        <v>2164500</v>
      </c>
      <c r="M29" s="25">
        <f t="shared" si="2"/>
        <v>7500</v>
      </c>
      <c r="N29" s="23">
        <f t="shared" si="3"/>
        <v>3.4770514603616135E-3</v>
      </c>
      <c r="O29" s="24">
        <f>IF(MID(E29,3,1)=".",
   IF(OR(LEFT(E29,5)=LEFT(E30,5),LEFT(E29,5)=TEXT(E30,"mm.dd")),"",SUM($M$8:M29)-SUM($O$8:O28)),
   IF(OR(TEXT(E29,"mm.dd")=LEFT(E30,5),TEXT(E29,"mm.dd")=TEXT(E30,"mm.dd")),"",SUM($M$8:M29)-SUM($O$8:O28)))</f>
        <v>23600</v>
      </c>
    </row>
    <row r="30" spans="1:16" s="6" customFormat="1" ht="13.5" customHeight="1" x14ac:dyDescent="0.25">
      <c r="A30" s="6" t="s">
        <v>1255</v>
      </c>
      <c r="B30" s="6" t="s">
        <v>1064</v>
      </c>
      <c r="C30" s="87" t="s">
        <v>1078</v>
      </c>
      <c r="D30" s="2" t="s">
        <v>1079</v>
      </c>
      <c r="E30" s="42" t="s">
        <v>1253</v>
      </c>
      <c r="F30" s="10" t="s">
        <v>1254</v>
      </c>
      <c r="G30" s="3">
        <v>100</v>
      </c>
      <c r="H30" s="4">
        <v>23205</v>
      </c>
      <c r="I30" s="4"/>
      <c r="J30" s="5">
        <f t="shared" si="0"/>
        <v>2320500</v>
      </c>
      <c r="K30" s="4">
        <v>23340</v>
      </c>
      <c r="L30" s="5">
        <f t="shared" si="1"/>
        <v>2334000</v>
      </c>
      <c r="M30" s="25">
        <f t="shared" si="2"/>
        <v>13500</v>
      </c>
      <c r="N30" s="23">
        <f t="shared" si="3"/>
        <v>5.8177117000646414E-3</v>
      </c>
      <c r="O30" s="24">
        <f>IF(MID(E30,3,1)=".",
   IF(OR(LEFT(E30,5)=LEFT(E31,5),LEFT(E30,5)=TEXT(E31,"mm.dd")),"",SUM($M$8:M30)-SUM($O$8:O29)),
   IF(OR(TEXT(E30,"mm.dd")=LEFT(E31,5),TEXT(E30,"mm.dd")=TEXT(E31,"mm.dd")),"",SUM($M$8:M30)-SUM($O$8:O29)))</f>
        <v>13500</v>
      </c>
    </row>
    <row r="31" spans="1:16" s="6" customFormat="1" ht="13.5" customHeight="1" x14ac:dyDescent="0.25">
      <c r="A31" s="6" t="s">
        <v>1271</v>
      </c>
      <c r="B31" s="6" t="s">
        <v>1064</v>
      </c>
      <c r="C31" s="87">
        <v>4506</v>
      </c>
      <c r="D31" s="88" t="s">
        <v>1260</v>
      </c>
      <c r="E31" s="42" t="s">
        <v>1261</v>
      </c>
      <c r="F31" s="10" t="s">
        <v>1262</v>
      </c>
      <c r="G31" s="3">
        <v>200</v>
      </c>
      <c r="H31" s="4">
        <v>3117</v>
      </c>
      <c r="I31" s="4"/>
      <c r="J31" s="5">
        <f t="shared" si="0"/>
        <v>623400</v>
      </c>
      <c r="K31" s="4">
        <v>3063.85</v>
      </c>
      <c r="L31" s="5">
        <f t="shared" si="1"/>
        <v>612770</v>
      </c>
      <c r="M31" s="25">
        <f t="shared" si="2"/>
        <v>-10630</v>
      </c>
      <c r="N31" s="23">
        <f t="shared" si="3"/>
        <v>-1.7051652229708052E-2</v>
      </c>
      <c r="O31" s="61" t="str">
        <f>IF(MID(E31,3,1)=".",
   IF(OR(LEFT(E31,5)=LEFT(E32,5),LEFT(E31,5)=TEXT(E32,"mm.dd")),"",SUM($M$8:M31)-SUM($O$8:O30)),
   IF(OR(TEXT(E31,"mm.dd")=LEFT(E32,5),TEXT(E31,"mm.dd")=TEXT(E32,"mm.dd")),"",SUM($M$8:M31)-SUM($O$8:O30)))</f>
        <v/>
      </c>
    </row>
    <row r="32" spans="1:16" s="6" customFormat="1" ht="13.5" customHeight="1" x14ac:dyDescent="0.25">
      <c r="A32" s="6" t="s">
        <v>1270</v>
      </c>
      <c r="B32" s="6" t="s">
        <v>1064</v>
      </c>
      <c r="C32" s="87">
        <v>5803</v>
      </c>
      <c r="D32" s="2" t="s">
        <v>1263</v>
      </c>
      <c r="E32" s="42" t="s">
        <v>1264</v>
      </c>
      <c r="F32" s="10" t="s">
        <v>1265</v>
      </c>
      <c r="G32" s="3">
        <v>100</v>
      </c>
      <c r="H32" s="4">
        <v>21462.9</v>
      </c>
      <c r="I32" s="4"/>
      <c r="J32" s="5">
        <f t="shared" si="0"/>
        <v>2146290</v>
      </c>
      <c r="K32" s="4">
        <v>21300</v>
      </c>
      <c r="L32" s="5">
        <f t="shared" si="1"/>
        <v>2130000</v>
      </c>
      <c r="M32" s="25">
        <f t="shared" si="2"/>
        <v>-16290</v>
      </c>
      <c r="N32" s="23">
        <f t="shared" si="3"/>
        <v>-7.5898410745984931E-3</v>
      </c>
      <c r="O32" s="24" t="str">
        <f>IF(MID(E32,3,1)=".",
   IF(OR(LEFT(E32,5)=LEFT(E33,5),LEFT(E32,5)=TEXT(E33,"mm.dd")),"",SUM($M$8:M32)-SUM($O$8:O31)),
   IF(OR(TEXT(E32,"mm.dd")=LEFT(E33,5),TEXT(E32,"mm.dd")=TEXT(E33,"mm.dd")),"",SUM($M$8:M32)-SUM($O$8:O31)))</f>
        <v/>
      </c>
      <c r="P32" s="6" t="s">
        <v>1268</v>
      </c>
    </row>
    <row r="33" spans="1:33" s="6" customFormat="1" ht="12.75" customHeight="1" x14ac:dyDescent="0.25">
      <c r="A33" s="6" t="s">
        <v>1269</v>
      </c>
      <c r="B33" s="6" t="s">
        <v>1064</v>
      </c>
      <c r="C33" s="87" t="s">
        <v>1078</v>
      </c>
      <c r="D33" s="88" t="s">
        <v>1293</v>
      </c>
      <c r="E33" s="42" t="s">
        <v>1266</v>
      </c>
      <c r="F33" s="10" t="s">
        <v>1267</v>
      </c>
      <c r="G33" s="3">
        <v>100</v>
      </c>
      <c r="H33" s="4">
        <v>21890</v>
      </c>
      <c r="I33" s="4"/>
      <c r="J33" s="5">
        <f t="shared" si="0"/>
        <v>2189000</v>
      </c>
      <c r="K33" s="4">
        <v>21944</v>
      </c>
      <c r="L33" s="5">
        <f t="shared" si="1"/>
        <v>2194400</v>
      </c>
      <c r="M33" s="25">
        <f t="shared" si="2"/>
        <v>5400</v>
      </c>
      <c r="N33" s="23">
        <f t="shared" si="3"/>
        <v>2.4668798538145273E-3</v>
      </c>
      <c r="O33" s="24">
        <f>IF(MID(E33,3,1)=".",
   IF(OR(LEFT(E33,5)=LEFT(E34,5),LEFT(E33,5)=TEXT(E34,"mm.dd")),"",SUM($M$8:M33)-SUM($O$8:O32)),
   IF(OR(TEXT(E33,"mm.dd")=LEFT(E34,5),TEXT(E33,"mm.dd")=TEXT(E34,"mm.dd")),"",SUM($M$8:M33)-SUM($O$8:O32)))</f>
        <v>-21520</v>
      </c>
      <c r="S33" s="34"/>
      <c r="T33" s="34"/>
      <c r="U33" s="34"/>
      <c r="V33" s="34"/>
      <c r="W33" s="34"/>
      <c r="X33" s="34"/>
      <c r="Y33" s="34"/>
      <c r="Z33" s="34"/>
      <c r="AA33" s="34"/>
      <c r="AB33" s="34"/>
      <c r="AC33" s="34"/>
      <c r="AD33" s="34"/>
      <c r="AE33" s="34"/>
      <c r="AF33" s="34"/>
      <c r="AG33" s="34"/>
    </row>
    <row r="34" spans="1:33" s="6" customFormat="1" ht="13.5" customHeight="1" x14ac:dyDescent="0.25">
      <c r="A34" s="6" t="s">
        <v>1286</v>
      </c>
      <c r="B34" s="6" t="s">
        <v>1064</v>
      </c>
      <c r="C34" s="87">
        <v>3110</v>
      </c>
      <c r="D34" s="2" t="s">
        <v>1281</v>
      </c>
      <c r="E34" s="42" t="s">
        <v>1282</v>
      </c>
      <c r="F34" s="10" t="s">
        <v>1283</v>
      </c>
      <c r="G34" s="3">
        <v>100</v>
      </c>
      <c r="H34" s="4">
        <v>21400</v>
      </c>
      <c r="I34" s="4"/>
      <c r="J34" s="5">
        <f t="shared" si="0"/>
        <v>2140000</v>
      </c>
      <c r="K34" s="4">
        <v>21609</v>
      </c>
      <c r="L34" s="5">
        <f t="shared" si="1"/>
        <v>2160900</v>
      </c>
      <c r="M34" s="25">
        <f t="shared" si="2"/>
        <v>20900</v>
      </c>
      <c r="N34" s="23">
        <f t="shared" si="3"/>
        <v>9.766355140186915E-3</v>
      </c>
      <c r="O34" s="24" t="str">
        <f>IF(MID(E34,3,1)=".",
   IF(OR(LEFT(E34,5)=LEFT(E35,5),LEFT(E34,5)=TEXT(E35,"mm.dd")),"",SUM($M$8:M34)-SUM($O$8:O33)),
   IF(OR(TEXT(E34,"mm.dd")=LEFT(E35,5),TEXT(E34,"mm.dd")=TEXT(E35,"mm.dd")),"",SUM($M$8:M34)-SUM($O$8:O33)))</f>
        <v/>
      </c>
    </row>
    <row r="35" spans="1:33" s="6" customFormat="1" ht="13.5" customHeight="1" x14ac:dyDescent="0.25">
      <c r="A35" s="6" t="s">
        <v>1287</v>
      </c>
      <c r="B35" s="6" t="s">
        <v>1064</v>
      </c>
      <c r="C35" s="87">
        <v>3110</v>
      </c>
      <c r="D35" s="2" t="s">
        <v>1281</v>
      </c>
      <c r="E35" s="42" t="s">
        <v>1284</v>
      </c>
      <c r="F35" s="10" t="s">
        <v>1285</v>
      </c>
      <c r="G35" s="3">
        <v>100</v>
      </c>
      <c r="H35" s="4">
        <v>21830</v>
      </c>
      <c r="I35" s="4"/>
      <c r="J35" s="5">
        <f t="shared" si="0"/>
        <v>2183000</v>
      </c>
      <c r="K35" s="4">
        <v>21880</v>
      </c>
      <c r="L35" s="5">
        <f t="shared" si="1"/>
        <v>2188000</v>
      </c>
      <c r="M35" s="25">
        <f t="shared" si="2"/>
        <v>5000</v>
      </c>
      <c r="N35" s="23">
        <f t="shared" si="3"/>
        <v>2.2904260192395786E-3</v>
      </c>
      <c r="O35" s="24">
        <f>IF(MID(E35,3,1)=".",
   IF(OR(LEFT(E35,5)=LEFT(E36,5),LEFT(E35,5)=TEXT(E36,"mm.dd")),"",SUM($M$8:M35)-SUM($O$8:O34)),
   IF(OR(TEXT(E35,"mm.dd")=LEFT(E36,5),TEXT(E35,"mm.dd")=TEXT(E36,"mm.dd")),"",SUM($M$8:M35)-SUM($O$8:O34)))</f>
        <v>25900</v>
      </c>
    </row>
    <row r="36" spans="1:33" s="6" customFormat="1" ht="13.5" customHeight="1" x14ac:dyDescent="0.25">
      <c r="A36" s="6" t="s">
        <v>1302</v>
      </c>
      <c r="B36" s="6" t="s">
        <v>1064</v>
      </c>
      <c r="C36" s="87">
        <v>7003</v>
      </c>
      <c r="D36" s="2" t="s">
        <v>1297</v>
      </c>
      <c r="E36" s="42" t="s">
        <v>1300</v>
      </c>
      <c r="F36" s="10" t="s">
        <v>1301</v>
      </c>
      <c r="G36" s="3">
        <v>200</v>
      </c>
      <c r="H36" s="4">
        <v>7547</v>
      </c>
      <c r="I36" s="4"/>
      <c r="J36" s="5">
        <f t="shared" ref="J36:J99" si="4">(G36*H36)+I36</f>
        <v>1509400</v>
      </c>
      <c r="K36" s="4">
        <v>7636.95</v>
      </c>
      <c r="L36" s="5">
        <f t="shared" ref="L36:L99" si="5">G36*K36</f>
        <v>1527390</v>
      </c>
      <c r="M36" s="25">
        <f t="shared" ref="M36:M99" si="6">IF(OR(H36="",K36=""),"\0",IF(B36="売",(J36-L36),(L36-J36)))</f>
        <v>17990</v>
      </c>
      <c r="N36" s="23">
        <f t="shared" ref="N36:N99" si="7">IF(ISERR(M36/J36),"データなし",(M36/J36))</f>
        <v>1.1918643169471313E-2</v>
      </c>
      <c r="O36" s="61">
        <f>IF(MID(E36,3,1)=".",
   IF(OR(LEFT(E36,5)=LEFT(E37,5),LEFT(E36,5)=TEXT(E37,"mm.dd")),"",SUM($M$8:M36)-SUM($O$8:O35)),
   IF(OR(TEXT(E36,"mm.dd")=LEFT(E37,5),TEXT(E36,"mm.dd")=TEXT(E37,"mm.dd")),"",SUM($M$8:M36)-SUM($O$8:O35)))</f>
        <v>17990</v>
      </c>
    </row>
    <row r="37" spans="1:33" s="6" customFormat="1" ht="13.5" customHeight="1" x14ac:dyDescent="0.25">
      <c r="B37" s="6" t="s">
        <v>15</v>
      </c>
      <c r="C37" s="87" t="str">
        <f t="shared" ref="C37:C99" si="8">IF(COUNTIF(A:A,A37)&gt;1,"重複!","")</f>
        <v/>
      </c>
      <c r="D37" s="2" t="str" cm="1">
        <f t="array" ref="D37">_xll.RssMarket(C37, "銘柄名称")</f>
        <v/>
      </c>
      <c r="E37" s="2" t="str" cm="1">
        <f t="array" ref="E37">_xll.RssMarket(C37, "現在日付")</f>
        <v/>
      </c>
      <c r="F37" s="10" t="str">
        <f t="shared" ref="F37:F99" ca="1" si="9">IF(K37="","",TODAY())</f>
        <v/>
      </c>
      <c r="G37" s="3"/>
      <c r="H37" s="4"/>
      <c r="I37" s="4"/>
      <c r="J37" s="5">
        <f t="shared" si="4"/>
        <v>0</v>
      </c>
      <c r="K37" s="4"/>
      <c r="L37" s="5">
        <f t="shared" si="5"/>
        <v>0</v>
      </c>
      <c r="M37" s="25" t="str">
        <f t="shared" si="6"/>
        <v>\0</v>
      </c>
      <c r="N37" s="23" t="str">
        <f t="shared" si="7"/>
        <v>データなし</v>
      </c>
      <c r="O37" s="24" t="str">
        <f>IF(MID(E37,3,1)=".",
   IF(OR(LEFT(E37,5)=LEFT(E38,5),LEFT(E37,5)=TEXT(E38,"mm.dd")),"",SUM($M$8:M37)-SUM($O$8:O36)),
   IF(OR(TEXT(E37,"mm.dd")=LEFT(E38,5),TEXT(E37,"mm.dd")=TEXT(E38,"mm.dd")),"",SUM($M$8:M37)-SUM($O$8:O36)))</f>
        <v/>
      </c>
    </row>
    <row r="38" spans="1:33" s="6" customFormat="1" ht="13.5" customHeight="1" x14ac:dyDescent="0.25">
      <c r="B38" s="6" t="s">
        <v>15</v>
      </c>
      <c r="C38" s="87" t="str">
        <f t="shared" si="8"/>
        <v/>
      </c>
      <c r="D38" s="2" t="str" cm="1">
        <f t="array" ref="D38">_xll.RssMarket(C38, "銘柄名称")</f>
        <v/>
      </c>
      <c r="E38" s="2" t="str" cm="1">
        <f t="array" ref="E38">_xll.RssMarket(C38, "現在日付")</f>
        <v/>
      </c>
      <c r="F38" s="10" t="str">
        <f t="shared" ca="1" si="9"/>
        <v/>
      </c>
      <c r="G38" s="3"/>
      <c r="H38" s="4"/>
      <c r="I38" s="4"/>
      <c r="J38" s="5">
        <f t="shared" si="4"/>
        <v>0</v>
      </c>
      <c r="K38" s="4"/>
      <c r="L38" s="5">
        <f t="shared" si="5"/>
        <v>0</v>
      </c>
      <c r="M38" s="25" t="str">
        <f t="shared" si="6"/>
        <v>\0</v>
      </c>
      <c r="N38" s="23" t="str">
        <f t="shared" si="7"/>
        <v>データなし</v>
      </c>
      <c r="O38" s="24" t="str">
        <f>IF(MID(E38,3,1)=".",
   IF(OR(LEFT(E38,5)=LEFT(E39,5),LEFT(E38,5)=TEXT(E39,"mm.dd")),"",SUM($M$8:M38)-SUM($O$8:O37)),
   IF(OR(TEXT(E38,"mm.dd")=LEFT(E39,5),TEXT(E38,"mm.dd")=TEXT(E39,"mm.dd")),"",SUM($M$8:M38)-SUM($O$8:O37)))</f>
        <v/>
      </c>
    </row>
    <row r="39" spans="1:33" s="6" customFormat="1" ht="13.5" customHeight="1" x14ac:dyDescent="0.25">
      <c r="B39" s="6" t="s">
        <v>15</v>
      </c>
      <c r="C39" s="87" t="str">
        <f t="shared" si="8"/>
        <v/>
      </c>
      <c r="D39" s="2" t="str" cm="1">
        <f t="array" ref="D39">_xll.RssMarket(C39, "銘柄名称")</f>
        <v/>
      </c>
      <c r="E39" s="2" t="str" cm="1">
        <f t="array" ref="E39">_xll.RssMarket(C39, "現在日付")</f>
        <v/>
      </c>
      <c r="F39" s="10" t="str">
        <f t="shared" ca="1" si="9"/>
        <v/>
      </c>
      <c r="G39" s="3"/>
      <c r="H39" s="4"/>
      <c r="I39" s="4"/>
      <c r="J39" s="5">
        <f t="shared" si="4"/>
        <v>0</v>
      </c>
      <c r="K39" s="4"/>
      <c r="L39" s="5">
        <f t="shared" si="5"/>
        <v>0</v>
      </c>
      <c r="M39" s="25" t="str">
        <f t="shared" si="6"/>
        <v>\0</v>
      </c>
      <c r="N39" s="23" t="str">
        <f t="shared" si="7"/>
        <v>データなし</v>
      </c>
      <c r="O39" s="24" t="str">
        <f>IF(MID(E39,3,1)=".",
   IF(OR(LEFT(E39,5)=LEFT(E40,5),LEFT(E39,5)=TEXT(E40,"mm.dd")),"",SUM($M$8:M39)-SUM($O$8:O38)),
   IF(OR(TEXT(E39,"mm.dd")=LEFT(E40,5),TEXT(E39,"mm.dd")=TEXT(E40,"mm.dd")),"",SUM($M$8:M39)-SUM($O$8:O38)))</f>
        <v/>
      </c>
    </row>
    <row r="40" spans="1:33" s="6" customFormat="1" ht="13.5" customHeight="1" x14ac:dyDescent="0.25">
      <c r="B40" s="6" t="s">
        <v>15</v>
      </c>
      <c r="C40" s="87" t="str">
        <f t="shared" si="8"/>
        <v/>
      </c>
      <c r="D40" s="2" t="str" cm="1">
        <f t="array" ref="D40">_xll.RssMarket(C40, "銘柄名称")</f>
        <v/>
      </c>
      <c r="E40" s="2" t="str" cm="1">
        <f t="array" ref="E40">_xll.RssMarket(C40, "現在日付")</f>
        <v/>
      </c>
      <c r="F40" s="10" t="str">
        <f t="shared" ca="1" si="9"/>
        <v/>
      </c>
      <c r="G40" s="3"/>
      <c r="H40" s="4"/>
      <c r="I40" s="4"/>
      <c r="J40" s="5">
        <f t="shared" si="4"/>
        <v>0</v>
      </c>
      <c r="K40" s="4"/>
      <c r="L40" s="5">
        <f t="shared" si="5"/>
        <v>0</v>
      </c>
      <c r="M40" s="25" t="str">
        <f t="shared" si="6"/>
        <v>\0</v>
      </c>
      <c r="N40" s="23" t="str">
        <f t="shared" si="7"/>
        <v>データなし</v>
      </c>
      <c r="O40" s="24" t="str">
        <f>IF(MID(E40,3,1)=".",
   IF(OR(LEFT(E40,5)=LEFT(E41,5),LEFT(E40,5)=TEXT(E41,"mm.dd")),"",SUM($M$8:M40)-SUM($O$8:O39)),
   IF(OR(TEXT(E40,"mm.dd")=LEFT(E41,5),TEXT(E40,"mm.dd")=TEXT(E41,"mm.dd")),"",SUM($M$8:M40)-SUM($O$8:O39)))</f>
        <v/>
      </c>
    </row>
    <row r="41" spans="1:33" s="6" customFormat="1" ht="13.5" customHeight="1" x14ac:dyDescent="0.25">
      <c r="B41" s="6" t="s">
        <v>15</v>
      </c>
      <c r="C41" s="87" t="str">
        <f t="shared" si="8"/>
        <v/>
      </c>
      <c r="D41" s="2" t="str" cm="1">
        <f t="array" ref="D41">_xll.RssMarket(C41, "銘柄名称")</f>
        <v/>
      </c>
      <c r="E41" s="2" t="str" cm="1">
        <f t="array" ref="E41">_xll.RssMarket(C41, "現在日付")</f>
        <v/>
      </c>
      <c r="F41" s="10" t="str">
        <f t="shared" ca="1" si="9"/>
        <v/>
      </c>
      <c r="G41" s="3"/>
      <c r="H41" s="4"/>
      <c r="I41" s="4"/>
      <c r="J41" s="5">
        <f t="shared" si="4"/>
        <v>0</v>
      </c>
      <c r="K41" s="4"/>
      <c r="L41" s="5">
        <f t="shared" si="5"/>
        <v>0</v>
      </c>
      <c r="M41" s="25" t="str">
        <f t="shared" si="6"/>
        <v>\0</v>
      </c>
      <c r="N41" s="23" t="str">
        <f t="shared" si="7"/>
        <v>データなし</v>
      </c>
      <c r="O41" s="24" t="str">
        <f>IF(MID(E41,3,1)=".",
   IF(OR(LEFT(E41,5)=LEFT(E42,5),LEFT(E41,5)=TEXT(E42,"mm.dd")),"",SUM($M$8:M41)-SUM($O$8:O40)),
   IF(OR(TEXT(E41,"mm.dd")=LEFT(E42,5),TEXT(E41,"mm.dd")=TEXT(E42,"mm.dd")),"",SUM($M$8:M41)-SUM($O$8:O40)))</f>
        <v/>
      </c>
    </row>
    <row r="42" spans="1:33" s="6" customFormat="1" ht="13.5" customHeight="1" x14ac:dyDescent="0.25">
      <c r="B42" s="6" t="s">
        <v>15</v>
      </c>
      <c r="C42" s="87" t="str">
        <f t="shared" si="8"/>
        <v/>
      </c>
      <c r="D42" s="2" t="str" cm="1">
        <f t="array" ref="D42">_xll.RssMarket(C42, "銘柄名称")</f>
        <v/>
      </c>
      <c r="E42" s="2" t="str" cm="1">
        <f t="array" ref="E42">_xll.RssMarket(C42, "現在日付")</f>
        <v/>
      </c>
      <c r="F42" s="10" t="str">
        <f t="shared" ca="1" si="9"/>
        <v/>
      </c>
      <c r="G42" s="3"/>
      <c r="H42" s="4"/>
      <c r="I42" s="4"/>
      <c r="J42" s="5">
        <f t="shared" si="4"/>
        <v>0</v>
      </c>
      <c r="K42" s="4"/>
      <c r="L42" s="5">
        <f t="shared" si="5"/>
        <v>0</v>
      </c>
      <c r="M42" s="25" t="str">
        <f t="shared" si="6"/>
        <v>\0</v>
      </c>
      <c r="N42" s="23" t="str">
        <f t="shared" si="7"/>
        <v>データなし</v>
      </c>
      <c r="O42" s="24" t="str">
        <f>IF(MID(E42,3,1)=".",
   IF(OR(LEFT(E42,5)=LEFT(E43,5),LEFT(E42,5)=TEXT(E43,"mm.dd")),"",SUM($M$8:M42)-SUM($O$8:O41)),
   IF(OR(TEXT(E42,"mm.dd")=LEFT(E43,5),TEXT(E42,"mm.dd")=TEXT(E43,"mm.dd")),"",SUM($M$8:M42)-SUM($O$8:O41)))</f>
        <v/>
      </c>
    </row>
    <row r="43" spans="1:33" s="6" customFormat="1" ht="13.5" customHeight="1" x14ac:dyDescent="0.25">
      <c r="B43" s="6" t="s">
        <v>15</v>
      </c>
      <c r="C43" s="87" t="str">
        <f t="shared" si="8"/>
        <v/>
      </c>
      <c r="D43" s="2" t="str" cm="1">
        <f t="array" ref="D43">_xll.RssMarket(C43, "銘柄名称")</f>
        <v/>
      </c>
      <c r="E43" s="2" t="str" cm="1">
        <f t="array" ref="E43">_xll.RssMarket(C43, "現在日付")</f>
        <v/>
      </c>
      <c r="F43" s="10" t="str">
        <f t="shared" ca="1" si="9"/>
        <v/>
      </c>
      <c r="G43" s="3"/>
      <c r="H43" s="4"/>
      <c r="I43" s="4"/>
      <c r="J43" s="5">
        <f t="shared" si="4"/>
        <v>0</v>
      </c>
      <c r="K43" s="4"/>
      <c r="L43" s="5">
        <f t="shared" si="5"/>
        <v>0</v>
      </c>
      <c r="M43" s="25" t="str">
        <f t="shared" si="6"/>
        <v>\0</v>
      </c>
      <c r="N43" s="23" t="str">
        <f t="shared" si="7"/>
        <v>データなし</v>
      </c>
      <c r="O43" s="24" t="str">
        <f>IF(MID(E43,3,1)=".",
   IF(OR(LEFT(E43,5)=LEFT(E44,5),LEFT(E43,5)=TEXT(E44,"mm.dd")),"",SUM($M$8:M43)-SUM($O$8:O42)),
   IF(OR(TEXT(E43,"mm.dd")=LEFT(E44,5),TEXT(E43,"mm.dd")=TEXT(E44,"mm.dd")),"",SUM($M$8:M43)-SUM($O$8:O42)))</f>
        <v/>
      </c>
    </row>
    <row r="44" spans="1:33" s="6" customFormat="1" ht="13.5" customHeight="1" x14ac:dyDescent="0.25">
      <c r="B44" s="6" t="s">
        <v>15</v>
      </c>
      <c r="C44" s="87" t="str">
        <f t="shared" si="8"/>
        <v/>
      </c>
      <c r="D44" s="2" t="str" cm="1">
        <f t="array" ref="D44">_xll.RssMarket(C44, "銘柄名称")</f>
        <v/>
      </c>
      <c r="E44" s="2" t="str" cm="1">
        <f t="array" ref="E44">_xll.RssMarket(C44, "現在日付")</f>
        <v/>
      </c>
      <c r="F44" s="10" t="str">
        <f t="shared" ca="1" si="9"/>
        <v/>
      </c>
      <c r="G44" s="3"/>
      <c r="H44" s="4"/>
      <c r="I44" s="4"/>
      <c r="J44" s="5">
        <f t="shared" si="4"/>
        <v>0</v>
      </c>
      <c r="K44" s="4"/>
      <c r="L44" s="5">
        <f t="shared" si="5"/>
        <v>0</v>
      </c>
      <c r="M44" s="25" t="str">
        <f t="shared" si="6"/>
        <v>\0</v>
      </c>
      <c r="N44" s="23" t="str">
        <f t="shared" si="7"/>
        <v>データなし</v>
      </c>
      <c r="O44" s="24" t="str">
        <f>IF(MID(E44,3,1)=".",
   IF(OR(LEFT(E44,5)=LEFT(E45,5),LEFT(E44,5)=TEXT(E45,"mm.dd")),"",SUM($M$8:M44)-SUM($O$8:O43)),
   IF(OR(TEXT(E44,"mm.dd")=LEFT(E45,5),TEXT(E44,"mm.dd")=TEXT(E45,"mm.dd")),"",SUM($M$8:M44)-SUM($O$8:O43)))</f>
        <v/>
      </c>
    </row>
    <row r="45" spans="1:33" s="6" customFormat="1" ht="13.5" customHeight="1" x14ac:dyDescent="0.25">
      <c r="B45" s="6" t="s">
        <v>15</v>
      </c>
      <c r="C45" s="87" t="str">
        <f t="shared" si="8"/>
        <v/>
      </c>
      <c r="D45" s="2" t="str" cm="1">
        <f t="array" ref="D45">_xll.RssMarket(C45, "銘柄名称")</f>
        <v/>
      </c>
      <c r="E45" s="2" t="str" cm="1">
        <f t="array" ref="E45">_xll.RssMarket(C45, "現在日付")</f>
        <v/>
      </c>
      <c r="F45" s="10" t="str">
        <f t="shared" ca="1" si="9"/>
        <v/>
      </c>
      <c r="G45" s="3"/>
      <c r="H45" s="4"/>
      <c r="I45" s="4"/>
      <c r="J45" s="5">
        <f t="shared" si="4"/>
        <v>0</v>
      </c>
      <c r="K45" s="4"/>
      <c r="L45" s="5">
        <f t="shared" si="5"/>
        <v>0</v>
      </c>
      <c r="M45" s="25" t="str">
        <f t="shared" si="6"/>
        <v>\0</v>
      </c>
      <c r="N45" s="23" t="str">
        <f t="shared" si="7"/>
        <v>データなし</v>
      </c>
      <c r="O45" s="24" t="str">
        <f>IF(MID(E45,3,1)=".",
   IF(OR(LEFT(E45,5)=LEFT(E46,5),LEFT(E45,5)=TEXT(E46,"mm.dd")),"",SUM($M$8:M45)-SUM($O$8:O44)),
   IF(OR(TEXT(E45,"mm.dd")=LEFT(E46,5),TEXT(E45,"mm.dd")=TEXT(E46,"mm.dd")),"",SUM($M$8:M45)-SUM($O$8:O44)))</f>
        <v/>
      </c>
    </row>
    <row r="46" spans="1:33" s="6" customFormat="1" ht="13.5" customHeight="1" x14ac:dyDescent="0.25">
      <c r="B46" s="6" t="s">
        <v>15</v>
      </c>
      <c r="C46" s="87" t="str">
        <f t="shared" si="8"/>
        <v/>
      </c>
      <c r="D46" s="2" t="str" cm="1">
        <f t="array" ref="D46">_xll.RssMarket(C46, "銘柄名称")</f>
        <v/>
      </c>
      <c r="E46" s="2" t="str" cm="1">
        <f t="array" ref="E46">_xll.RssMarket(C46, "現在日付")</f>
        <v/>
      </c>
      <c r="F46" s="10" t="str">
        <f t="shared" ca="1" si="9"/>
        <v/>
      </c>
      <c r="G46" s="3"/>
      <c r="H46" s="4"/>
      <c r="I46" s="4"/>
      <c r="J46" s="5">
        <f t="shared" si="4"/>
        <v>0</v>
      </c>
      <c r="K46" s="4"/>
      <c r="L46" s="5">
        <f t="shared" si="5"/>
        <v>0</v>
      </c>
      <c r="M46" s="25" t="str">
        <f t="shared" si="6"/>
        <v>\0</v>
      </c>
      <c r="N46" s="23" t="str">
        <f t="shared" si="7"/>
        <v>データなし</v>
      </c>
      <c r="O46" s="24" t="str">
        <f>IF(MID(E46,3,1)=".",
   IF(OR(LEFT(E46,5)=LEFT(E47,5),LEFT(E46,5)=TEXT(E47,"mm.dd")),"",SUM($M$8:M46)-SUM($O$8:O45)),
   IF(OR(TEXT(E46,"mm.dd")=LEFT(E47,5),TEXT(E46,"mm.dd")=TEXT(E47,"mm.dd")),"",SUM($M$8:M46)-SUM($O$8:O45)))</f>
        <v/>
      </c>
    </row>
    <row r="47" spans="1:33" s="6" customFormat="1" ht="13.5" customHeight="1" x14ac:dyDescent="0.25">
      <c r="B47" s="6" t="s">
        <v>15</v>
      </c>
      <c r="C47" s="87" t="str">
        <f t="shared" si="8"/>
        <v/>
      </c>
      <c r="D47" s="2" t="str" cm="1">
        <f t="array" ref="D47">_xll.RssMarket(C47, "銘柄名称")</f>
        <v/>
      </c>
      <c r="E47" s="2" t="str" cm="1">
        <f t="array" ref="E47">_xll.RssMarket(C47, "現在日付")</f>
        <v/>
      </c>
      <c r="F47" s="10" t="str">
        <f t="shared" ca="1" si="9"/>
        <v/>
      </c>
      <c r="G47" s="3"/>
      <c r="H47" s="4"/>
      <c r="I47" s="4"/>
      <c r="J47" s="5">
        <f t="shared" si="4"/>
        <v>0</v>
      </c>
      <c r="K47" s="4"/>
      <c r="L47" s="5">
        <f t="shared" si="5"/>
        <v>0</v>
      </c>
      <c r="M47" s="25" t="str">
        <f t="shared" si="6"/>
        <v>\0</v>
      </c>
      <c r="N47" s="23" t="str">
        <f t="shared" si="7"/>
        <v>データなし</v>
      </c>
      <c r="O47" s="24" t="str">
        <f>IF(MID(E47,3,1)=".",
   IF(OR(LEFT(E47,5)=LEFT(E48,5),LEFT(E47,5)=TEXT(E48,"mm.dd")),"",SUM($M$8:M47)-SUM($O$8:O46)),
   IF(OR(TEXT(E47,"mm.dd")=LEFT(E48,5),TEXT(E47,"mm.dd")=TEXT(E48,"mm.dd")),"",SUM($M$8:M47)-SUM($O$8:O46)))</f>
        <v/>
      </c>
    </row>
    <row r="48" spans="1:33" s="6" customFormat="1" ht="13.5" customHeight="1" x14ac:dyDescent="0.25">
      <c r="B48" s="6" t="s">
        <v>15</v>
      </c>
      <c r="C48" s="87" t="str">
        <f t="shared" si="8"/>
        <v/>
      </c>
      <c r="D48" s="2" t="str" cm="1">
        <f t="array" ref="D48">_xll.RssMarket(C48, "銘柄名称")</f>
        <v/>
      </c>
      <c r="E48" s="2" t="str" cm="1">
        <f t="array" ref="E48">_xll.RssMarket(C48, "現在日付")</f>
        <v/>
      </c>
      <c r="F48" s="10" t="str">
        <f t="shared" ca="1" si="9"/>
        <v/>
      </c>
      <c r="G48" s="3"/>
      <c r="H48" s="4"/>
      <c r="I48" s="4"/>
      <c r="J48" s="5">
        <f t="shared" si="4"/>
        <v>0</v>
      </c>
      <c r="K48" s="4"/>
      <c r="L48" s="5">
        <f t="shared" si="5"/>
        <v>0</v>
      </c>
      <c r="M48" s="25" t="str">
        <f t="shared" si="6"/>
        <v>\0</v>
      </c>
      <c r="N48" s="23" t="str">
        <f t="shared" si="7"/>
        <v>データなし</v>
      </c>
      <c r="O48" s="24" t="str">
        <f>IF(MID(E48,3,1)=".",
   IF(OR(LEFT(E48,5)=LEFT(E49,5),LEFT(E48,5)=TEXT(E49,"mm.dd")),"",SUM($M$8:M48)-SUM($O$8:O47)),
   IF(OR(TEXT(E48,"mm.dd")=LEFT(E49,5),TEXT(E48,"mm.dd")=TEXT(E49,"mm.dd")),"",SUM($M$8:M48)-SUM($O$8:O47)))</f>
        <v/>
      </c>
    </row>
    <row r="49" spans="2:15" s="6" customFormat="1" ht="13.5" customHeight="1" x14ac:dyDescent="0.25">
      <c r="B49" s="6" t="s">
        <v>15</v>
      </c>
      <c r="C49" s="87" t="str">
        <f t="shared" si="8"/>
        <v/>
      </c>
      <c r="D49" s="2" t="str" cm="1">
        <f t="array" ref="D49">_xll.RssMarket(C49, "銘柄名称")</f>
        <v/>
      </c>
      <c r="E49" s="2" t="str" cm="1">
        <f t="array" ref="E49">_xll.RssMarket(C49, "現在日付")</f>
        <v/>
      </c>
      <c r="F49" s="10" t="str">
        <f t="shared" ca="1" si="9"/>
        <v/>
      </c>
      <c r="G49" s="3"/>
      <c r="H49" s="4"/>
      <c r="I49" s="4"/>
      <c r="J49" s="5">
        <f t="shared" si="4"/>
        <v>0</v>
      </c>
      <c r="K49" s="4"/>
      <c r="L49" s="5">
        <f t="shared" si="5"/>
        <v>0</v>
      </c>
      <c r="M49" s="25" t="str">
        <f t="shared" si="6"/>
        <v>\0</v>
      </c>
      <c r="N49" s="23" t="str">
        <f t="shared" si="7"/>
        <v>データなし</v>
      </c>
      <c r="O49" s="24" t="str">
        <f>IF(MID(E49,3,1)=".",
   IF(OR(LEFT(E49,5)=LEFT(E50,5),LEFT(E49,5)=TEXT(E50,"mm.dd")),"",SUM($M$8:M49)-SUM($O$8:O48)),
   IF(OR(TEXT(E49,"mm.dd")=LEFT(E50,5),TEXT(E49,"mm.dd")=TEXT(E50,"mm.dd")),"",SUM($M$8:M49)-SUM($O$8:O48)))</f>
        <v/>
      </c>
    </row>
    <row r="50" spans="2:15" s="6" customFormat="1" ht="13.5" customHeight="1" x14ac:dyDescent="0.25">
      <c r="B50" s="6" t="s">
        <v>15</v>
      </c>
      <c r="C50" s="87" t="str">
        <f t="shared" si="8"/>
        <v/>
      </c>
      <c r="D50" s="2" t="str" cm="1">
        <f t="array" ref="D50">_xll.RssMarket(C50, "銘柄名称")</f>
        <v/>
      </c>
      <c r="E50" s="2" t="str" cm="1">
        <f t="array" ref="E50">_xll.RssMarket(C50, "現在日付")</f>
        <v/>
      </c>
      <c r="F50" s="10" t="str">
        <f t="shared" ca="1" si="9"/>
        <v/>
      </c>
      <c r="G50" s="3"/>
      <c r="H50" s="4"/>
      <c r="I50" s="4"/>
      <c r="J50" s="5">
        <f t="shared" si="4"/>
        <v>0</v>
      </c>
      <c r="K50" s="4"/>
      <c r="L50" s="5">
        <f t="shared" si="5"/>
        <v>0</v>
      </c>
      <c r="M50" s="25" t="str">
        <f t="shared" si="6"/>
        <v>\0</v>
      </c>
      <c r="N50" s="23" t="str">
        <f t="shared" si="7"/>
        <v>データなし</v>
      </c>
      <c r="O50" s="24" t="str">
        <f>IF(MID(E50,3,1)=".",
   IF(OR(LEFT(E50,5)=LEFT(E51,5),LEFT(E50,5)=TEXT(E51,"mm.dd")),"",SUM($M$8:M50)-SUM($O$8:O49)),
   IF(OR(TEXT(E50,"mm.dd")=LEFT(E51,5),TEXT(E50,"mm.dd")=TEXT(E51,"mm.dd")),"",SUM($M$8:M50)-SUM($O$8:O49)))</f>
        <v/>
      </c>
    </row>
    <row r="51" spans="2:15" s="6" customFormat="1" ht="13.5" customHeight="1" x14ac:dyDescent="0.25">
      <c r="B51" s="6" t="s">
        <v>15</v>
      </c>
      <c r="C51" s="87" t="str">
        <f t="shared" si="8"/>
        <v/>
      </c>
      <c r="D51" s="2" t="str" cm="1">
        <f t="array" ref="D51">_xll.RssMarket(C51, "銘柄名称")</f>
        <v/>
      </c>
      <c r="E51" s="2" t="str" cm="1">
        <f t="array" ref="E51">_xll.RssMarket(C51, "現在日付")</f>
        <v/>
      </c>
      <c r="F51" s="10" t="str">
        <f t="shared" ca="1" si="9"/>
        <v/>
      </c>
      <c r="G51" s="3"/>
      <c r="H51" s="4"/>
      <c r="I51" s="4"/>
      <c r="J51" s="5">
        <f t="shared" si="4"/>
        <v>0</v>
      </c>
      <c r="K51" s="4"/>
      <c r="L51" s="5">
        <f t="shared" si="5"/>
        <v>0</v>
      </c>
      <c r="M51" s="25" t="str">
        <f t="shared" si="6"/>
        <v>\0</v>
      </c>
      <c r="N51" s="23" t="str">
        <f t="shared" si="7"/>
        <v>データなし</v>
      </c>
      <c r="O51" s="24" t="str">
        <f>IF(MID(E51,3,1)=".",
   IF(OR(LEFT(E51,5)=LEFT(E52,5),LEFT(E51,5)=TEXT(E52,"mm.dd")),"",SUM($M$8:M51)-SUM($O$8:O50)),
   IF(OR(TEXT(E51,"mm.dd")=LEFT(E52,5),TEXT(E51,"mm.dd")=TEXT(E52,"mm.dd")),"",SUM($M$8:M51)-SUM($O$8:O50)))</f>
        <v/>
      </c>
    </row>
    <row r="52" spans="2:15" s="6" customFormat="1" ht="13.5" customHeight="1" x14ac:dyDescent="0.25">
      <c r="B52" s="6" t="s">
        <v>15</v>
      </c>
      <c r="C52" s="87" t="str">
        <f t="shared" si="8"/>
        <v/>
      </c>
      <c r="D52" s="2" t="str" cm="1">
        <f t="array" ref="D52">_xll.RssMarket(C52, "銘柄名称")</f>
        <v/>
      </c>
      <c r="E52" s="2" t="str" cm="1">
        <f t="array" ref="E52">_xll.RssMarket(C52, "現在日付")</f>
        <v/>
      </c>
      <c r="F52" s="10" t="str">
        <f t="shared" ca="1" si="9"/>
        <v/>
      </c>
      <c r="G52" s="3"/>
      <c r="H52" s="4"/>
      <c r="I52" s="4"/>
      <c r="J52" s="5">
        <f t="shared" si="4"/>
        <v>0</v>
      </c>
      <c r="K52" s="4"/>
      <c r="L52" s="5">
        <f t="shared" si="5"/>
        <v>0</v>
      </c>
      <c r="M52" s="25" t="str">
        <f t="shared" si="6"/>
        <v>\0</v>
      </c>
      <c r="N52" s="23" t="str">
        <f t="shared" si="7"/>
        <v>データなし</v>
      </c>
      <c r="O52" s="24" t="str">
        <f>IF(MID(E52,3,1)=".",
   IF(OR(LEFT(E52,5)=LEFT(E53,5),LEFT(E52,5)=TEXT(E53,"mm.dd")),"",SUM($M$8:M52)-SUM($O$8:O51)),
   IF(OR(TEXT(E52,"mm.dd")=LEFT(E53,5),TEXT(E52,"mm.dd")=TEXT(E53,"mm.dd")),"",SUM($M$8:M52)-SUM($O$8:O51)))</f>
        <v/>
      </c>
    </row>
    <row r="53" spans="2:15" s="6" customFormat="1" ht="13.5" customHeight="1" x14ac:dyDescent="0.25">
      <c r="B53" s="6" t="s">
        <v>15</v>
      </c>
      <c r="C53" s="87" t="str">
        <f t="shared" si="8"/>
        <v/>
      </c>
      <c r="D53" s="2" t="str" cm="1">
        <f t="array" ref="D53">_xll.RssMarket(C53, "銘柄名称")</f>
        <v/>
      </c>
      <c r="E53" s="2" t="str" cm="1">
        <f t="array" ref="E53">_xll.RssMarket(C53, "現在日付")</f>
        <v/>
      </c>
      <c r="F53" s="10" t="str">
        <f t="shared" ca="1" si="9"/>
        <v/>
      </c>
      <c r="G53" s="3"/>
      <c r="H53" s="4"/>
      <c r="I53" s="4"/>
      <c r="J53" s="5">
        <f t="shared" si="4"/>
        <v>0</v>
      </c>
      <c r="K53" s="4"/>
      <c r="L53" s="5">
        <f t="shared" si="5"/>
        <v>0</v>
      </c>
      <c r="M53" s="25" t="str">
        <f t="shared" si="6"/>
        <v>\0</v>
      </c>
      <c r="N53" s="23" t="str">
        <f t="shared" si="7"/>
        <v>データなし</v>
      </c>
      <c r="O53" s="24" t="str">
        <f>IF(MID(E53,3,1)=".",
   IF(OR(LEFT(E53,5)=LEFT(E54,5),LEFT(E53,5)=TEXT(E54,"mm.dd")),"",SUM($M$8:M53)-SUM($O$8:O52)),
   IF(OR(TEXT(E53,"mm.dd")=LEFT(E54,5),TEXT(E53,"mm.dd")=TEXT(E54,"mm.dd")),"",SUM($M$8:M53)-SUM($O$8:O52)))</f>
        <v/>
      </c>
    </row>
    <row r="54" spans="2:15" s="6" customFormat="1" ht="13.5" customHeight="1" x14ac:dyDescent="0.25">
      <c r="B54" s="6" t="s">
        <v>15</v>
      </c>
      <c r="C54" s="87" t="str">
        <f t="shared" si="8"/>
        <v/>
      </c>
      <c r="D54" s="2" t="str" cm="1">
        <f t="array" ref="D54">_xll.RssMarket(C54, "銘柄名称")</f>
        <v/>
      </c>
      <c r="E54" s="2" t="str" cm="1">
        <f t="array" ref="E54">_xll.RssMarket(C54, "現在日付")</f>
        <v/>
      </c>
      <c r="F54" s="10" t="str">
        <f t="shared" ca="1" si="9"/>
        <v/>
      </c>
      <c r="G54" s="3"/>
      <c r="H54" s="4"/>
      <c r="I54" s="4"/>
      <c r="J54" s="5">
        <f t="shared" si="4"/>
        <v>0</v>
      </c>
      <c r="K54" s="4"/>
      <c r="L54" s="5">
        <f t="shared" si="5"/>
        <v>0</v>
      </c>
      <c r="M54" s="25" t="str">
        <f t="shared" si="6"/>
        <v>\0</v>
      </c>
      <c r="N54" s="23" t="str">
        <f t="shared" si="7"/>
        <v>データなし</v>
      </c>
      <c r="O54" s="24" t="str">
        <f>IF(MID(E54,3,1)=".",
   IF(OR(LEFT(E54,5)=LEFT(E55,5),LEFT(E54,5)=TEXT(E55,"mm.dd")),"",SUM($M$8:M54)-SUM($O$8:O53)),
   IF(OR(TEXT(E54,"mm.dd")=LEFT(E55,5),TEXT(E54,"mm.dd")=TEXT(E55,"mm.dd")),"",SUM($M$8:M54)-SUM($O$8:O53)))</f>
        <v/>
      </c>
    </row>
    <row r="55" spans="2:15" s="6" customFormat="1" ht="13.5" customHeight="1" x14ac:dyDescent="0.25">
      <c r="B55" s="6" t="s">
        <v>15</v>
      </c>
      <c r="C55" s="87" t="str">
        <f t="shared" si="8"/>
        <v/>
      </c>
      <c r="D55" s="2" t="str" cm="1">
        <f t="array" ref="D55">_xll.RssMarket(C55, "銘柄名称")</f>
        <v/>
      </c>
      <c r="E55" s="2" t="str" cm="1">
        <f t="array" ref="E55">_xll.RssMarket(C55, "現在日付")</f>
        <v/>
      </c>
      <c r="F55" s="10" t="str">
        <f t="shared" ca="1" si="9"/>
        <v/>
      </c>
      <c r="G55" s="3"/>
      <c r="H55" s="4"/>
      <c r="I55" s="4"/>
      <c r="J55" s="5">
        <f t="shared" si="4"/>
        <v>0</v>
      </c>
      <c r="K55" s="4"/>
      <c r="L55" s="5">
        <f t="shared" si="5"/>
        <v>0</v>
      </c>
      <c r="M55" s="25" t="str">
        <f t="shared" si="6"/>
        <v>\0</v>
      </c>
      <c r="N55" s="23" t="str">
        <f t="shared" si="7"/>
        <v>データなし</v>
      </c>
      <c r="O55" s="24" t="str">
        <f>IF(MID(E55,3,1)=".",
   IF(OR(LEFT(E55,5)=LEFT(E56,5),LEFT(E55,5)=TEXT(E56,"mm.dd")),"",SUM($M$8:M55)-SUM($O$8:O54)),
   IF(OR(TEXT(E55,"mm.dd")=LEFT(E56,5),TEXT(E55,"mm.dd")=TEXT(E56,"mm.dd")),"",SUM($M$8:M55)-SUM($O$8:O54)))</f>
        <v/>
      </c>
    </row>
    <row r="56" spans="2:15" s="6" customFormat="1" ht="13.5" customHeight="1" x14ac:dyDescent="0.25">
      <c r="B56" s="6" t="s">
        <v>15</v>
      </c>
      <c r="C56" s="87" t="str">
        <f t="shared" si="8"/>
        <v/>
      </c>
      <c r="D56" s="2" t="str" cm="1">
        <f t="array" ref="D56">_xll.RssMarket(C56, "銘柄名称")</f>
        <v/>
      </c>
      <c r="E56" s="2" t="str" cm="1">
        <f t="array" ref="E56">_xll.RssMarket(C56, "現在日付")</f>
        <v/>
      </c>
      <c r="F56" s="10" t="str">
        <f t="shared" ca="1" si="9"/>
        <v/>
      </c>
      <c r="G56" s="3"/>
      <c r="H56" s="4"/>
      <c r="I56" s="4"/>
      <c r="J56" s="5">
        <f t="shared" si="4"/>
        <v>0</v>
      </c>
      <c r="K56" s="4"/>
      <c r="L56" s="5">
        <f t="shared" si="5"/>
        <v>0</v>
      </c>
      <c r="M56" s="25" t="str">
        <f t="shared" si="6"/>
        <v>\0</v>
      </c>
      <c r="N56" s="23" t="str">
        <f t="shared" si="7"/>
        <v>データなし</v>
      </c>
      <c r="O56" s="24" t="str">
        <f>IF(MID(E56,3,1)=".",
   IF(OR(LEFT(E56,5)=LEFT(E57,5),LEFT(E56,5)=TEXT(E57,"mm.dd")),"",SUM($M$8:M56)-SUM($O$8:O55)),
   IF(OR(TEXT(E56,"mm.dd")=LEFT(E57,5),TEXT(E56,"mm.dd")=TEXT(E57,"mm.dd")),"",SUM($M$8:M56)-SUM($O$8:O55)))</f>
        <v/>
      </c>
    </row>
    <row r="57" spans="2:15" s="6" customFormat="1" ht="13.5" customHeight="1" x14ac:dyDescent="0.25">
      <c r="B57" s="6" t="s">
        <v>15</v>
      </c>
      <c r="C57" s="87" t="str">
        <f t="shared" si="8"/>
        <v/>
      </c>
      <c r="D57" s="2" t="str" cm="1">
        <f t="array" ref="D57">_xll.RssMarket(C57, "銘柄名称")</f>
        <v/>
      </c>
      <c r="E57" s="2" t="str" cm="1">
        <f t="array" ref="E57">_xll.RssMarket(C57, "現在日付")</f>
        <v/>
      </c>
      <c r="F57" s="10" t="str">
        <f t="shared" ca="1" si="9"/>
        <v/>
      </c>
      <c r="G57" s="3"/>
      <c r="H57" s="4"/>
      <c r="I57" s="4"/>
      <c r="J57" s="5">
        <f t="shared" si="4"/>
        <v>0</v>
      </c>
      <c r="K57" s="4"/>
      <c r="L57" s="5">
        <f t="shared" si="5"/>
        <v>0</v>
      </c>
      <c r="M57" s="25" t="str">
        <f t="shared" si="6"/>
        <v>\0</v>
      </c>
      <c r="N57" s="23" t="str">
        <f t="shared" si="7"/>
        <v>データなし</v>
      </c>
      <c r="O57" s="24" t="str">
        <f>IF(MID(E57,3,1)=".",
   IF(OR(LEFT(E57,5)=LEFT(E58,5),LEFT(E57,5)=TEXT(E58,"mm.dd")),"",SUM($M$8:M57)-SUM($O$8:O56)),
   IF(OR(TEXT(E57,"mm.dd")=LEFT(E58,5),TEXT(E57,"mm.dd")=TEXT(E58,"mm.dd")),"",SUM($M$8:M57)-SUM($O$8:O56)))</f>
        <v/>
      </c>
    </row>
    <row r="58" spans="2:15" s="6" customFormat="1" ht="13.5" customHeight="1" x14ac:dyDescent="0.25">
      <c r="B58" s="6" t="s">
        <v>15</v>
      </c>
      <c r="C58" s="87" t="str">
        <f t="shared" si="8"/>
        <v/>
      </c>
      <c r="D58" s="2" t="str" cm="1">
        <f t="array" ref="D58">_xll.RssMarket(C58, "銘柄名称")</f>
        <v/>
      </c>
      <c r="E58" s="2" t="str" cm="1">
        <f t="array" ref="E58">_xll.RssMarket(C58, "現在日付")</f>
        <v/>
      </c>
      <c r="F58" s="10" t="str">
        <f t="shared" ca="1" si="9"/>
        <v/>
      </c>
      <c r="G58" s="3"/>
      <c r="H58" s="4"/>
      <c r="I58" s="4"/>
      <c r="J58" s="5">
        <f t="shared" si="4"/>
        <v>0</v>
      </c>
      <c r="K58" s="4"/>
      <c r="L58" s="5">
        <f t="shared" si="5"/>
        <v>0</v>
      </c>
      <c r="M58" s="25" t="str">
        <f t="shared" si="6"/>
        <v>\0</v>
      </c>
      <c r="N58" s="23" t="str">
        <f t="shared" si="7"/>
        <v>データなし</v>
      </c>
      <c r="O58" s="24" t="str">
        <f>IF(MID(E58,3,1)=".",
   IF(OR(LEFT(E58,5)=LEFT(E59,5),LEFT(E58,5)=TEXT(E59,"mm.dd")),"",SUM($M$8:M58)-SUM($O$8:O57)),
   IF(OR(TEXT(E58,"mm.dd")=LEFT(E59,5),TEXT(E58,"mm.dd")=TEXT(E59,"mm.dd")),"",SUM($M$8:M58)-SUM($O$8:O57)))</f>
        <v/>
      </c>
    </row>
    <row r="59" spans="2:15" s="6" customFormat="1" ht="13.5" customHeight="1" x14ac:dyDescent="0.25">
      <c r="B59" s="6" t="s">
        <v>15</v>
      </c>
      <c r="C59" s="87" t="str">
        <f t="shared" si="8"/>
        <v/>
      </c>
      <c r="D59" s="2" t="str" cm="1">
        <f t="array" ref="D59">_xll.RssMarket(C59, "銘柄名称")</f>
        <v/>
      </c>
      <c r="E59" s="2" t="str" cm="1">
        <f t="array" ref="E59">_xll.RssMarket(C59, "現在日付")</f>
        <v/>
      </c>
      <c r="F59" s="10" t="str">
        <f t="shared" ca="1" si="9"/>
        <v/>
      </c>
      <c r="G59" s="3"/>
      <c r="H59" s="4"/>
      <c r="I59" s="4"/>
      <c r="J59" s="5">
        <f t="shared" si="4"/>
        <v>0</v>
      </c>
      <c r="K59" s="4"/>
      <c r="L59" s="5">
        <f t="shared" si="5"/>
        <v>0</v>
      </c>
      <c r="M59" s="25" t="str">
        <f t="shared" si="6"/>
        <v>\0</v>
      </c>
      <c r="N59" s="23" t="str">
        <f t="shared" si="7"/>
        <v>データなし</v>
      </c>
      <c r="O59" s="24" t="str">
        <f>IF(MID(E59,3,1)=".",
   IF(OR(LEFT(E59,5)=LEFT(E60,5),LEFT(E59,5)=TEXT(E60,"mm.dd")),"",SUM($M$8:M59)-SUM($O$8:O58)),
   IF(OR(TEXT(E59,"mm.dd")=LEFT(E60,5),TEXT(E59,"mm.dd")=TEXT(E60,"mm.dd")),"",SUM($M$8:M59)-SUM($O$8:O58)))</f>
        <v/>
      </c>
    </row>
    <row r="60" spans="2:15" s="6" customFormat="1" ht="13.5" customHeight="1" x14ac:dyDescent="0.25">
      <c r="B60" s="6" t="s">
        <v>15</v>
      </c>
      <c r="C60" s="87" t="str">
        <f t="shared" si="8"/>
        <v/>
      </c>
      <c r="D60" s="2" t="str" cm="1">
        <f t="array" ref="D60">_xll.RssMarket(C60, "銘柄名称")</f>
        <v/>
      </c>
      <c r="E60" s="2" t="str" cm="1">
        <f t="array" ref="E60">_xll.RssMarket(C60, "現在日付")</f>
        <v/>
      </c>
      <c r="F60" s="10" t="str">
        <f t="shared" ca="1" si="9"/>
        <v/>
      </c>
      <c r="G60" s="3"/>
      <c r="H60" s="4"/>
      <c r="I60" s="4"/>
      <c r="J60" s="5">
        <f t="shared" si="4"/>
        <v>0</v>
      </c>
      <c r="K60" s="4"/>
      <c r="L60" s="5">
        <f t="shared" si="5"/>
        <v>0</v>
      </c>
      <c r="M60" s="25" t="str">
        <f t="shared" si="6"/>
        <v>\0</v>
      </c>
      <c r="N60" s="23" t="str">
        <f t="shared" si="7"/>
        <v>データなし</v>
      </c>
      <c r="O60" s="24" t="str">
        <f>IF(MID(E60,3,1)=".",
   IF(OR(LEFT(E60,5)=LEFT(E61,5),LEFT(E60,5)=TEXT(E61,"mm.dd")),"",SUM($M$8:M60)-SUM($O$8:O59)),
   IF(OR(TEXT(E60,"mm.dd")=LEFT(E61,5),TEXT(E60,"mm.dd")=TEXT(E61,"mm.dd")),"",SUM($M$8:M60)-SUM($O$8:O59)))</f>
        <v/>
      </c>
    </row>
    <row r="61" spans="2:15" s="6" customFormat="1" ht="13.5" customHeight="1" x14ac:dyDescent="0.25">
      <c r="B61" s="6" t="s">
        <v>15</v>
      </c>
      <c r="C61" s="87" t="str">
        <f t="shared" si="8"/>
        <v/>
      </c>
      <c r="D61" s="2" t="str" cm="1">
        <f t="array" ref="D61">_xll.RssMarket(C61, "銘柄名称")</f>
        <v/>
      </c>
      <c r="E61" s="2" t="str" cm="1">
        <f t="array" ref="E61">_xll.RssMarket(C61, "現在日付")</f>
        <v/>
      </c>
      <c r="F61" s="10" t="str">
        <f t="shared" ca="1" si="9"/>
        <v/>
      </c>
      <c r="G61" s="3"/>
      <c r="H61" s="4"/>
      <c r="I61" s="4"/>
      <c r="J61" s="5">
        <f t="shared" si="4"/>
        <v>0</v>
      </c>
      <c r="K61" s="4"/>
      <c r="L61" s="5">
        <f t="shared" si="5"/>
        <v>0</v>
      </c>
      <c r="M61" s="25" t="str">
        <f t="shared" si="6"/>
        <v>\0</v>
      </c>
      <c r="N61" s="23" t="str">
        <f t="shared" si="7"/>
        <v>データなし</v>
      </c>
      <c r="O61" s="24" t="str">
        <f>IF(MID(E61,3,1)=".",
   IF(OR(LEFT(E61,5)=LEFT(E62,5),LEFT(E61,5)=TEXT(E62,"mm.dd")),"",SUM($M$8:M61)-SUM($O$8:O60)),
   IF(OR(TEXT(E61,"mm.dd")=LEFT(E62,5),TEXT(E61,"mm.dd")=TEXT(E62,"mm.dd")),"",SUM($M$8:M61)-SUM($O$8:O60)))</f>
        <v/>
      </c>
    </row>
    <row r="62" spans="2:15" s="6" customFormat="1" ht="13.5" customHeight="1" x14ac:dyDescent="0.25">
      <c r="B62" s="6" t="s">
        <v>15</v>
      </c>
      <c r="C62" s="87" t="str">
        <f t="shared" si="8"/>
        <v/>
      </c>
      <c r="D62" s="2" t="str" cm="1">
        <f t="array" ref="D62">_xll.RssMarket(C62, "銘柄名称")</f>
        <v/>
      </c>
      <c r="E62" s="2" t="str" cm="1">
        <f t="array" ref="E62">_xll.RssMarket(C62, "現在日付")</f>
        <v/>
      </c>
      <c r="F62" s="10" t="str">
        <f t="shared" ca="1" si="9"/>
        <v/>
      </c>
      <c r="G62" s="3"/>
      <c r="H62" s="4"/>
      <c r="I62" s="4"/>
      <c r="J62" s="5">
        <f t="shared" si="4"/>
        <v>0</v>
      </c>
      <c r="K62" s="4"/>
      <c r="L62" s="5">
        <f t="shared" si="5"/>
        <v>0</v>
      </c>
      <c r="M62" s="25" t="str">
        <f t="shared" si="6"/>
        <v>\0</v>
      </c>
      <c r="N62" s="23" t="str">
        <f t="shared" si="7"/>
        <v>データなし</v>
      </c>
      <c r="O62" s="24" t="str">
        <f>IF(MID(E62,3,1)=".",
   IF(OR(LEFT(E62,5)=LEFT(E63,5),LEFT(E62,5)=TEXT(E63,"mm.dd")),"",SUM($M$8:M62)-SUM($O$8:O61)),
   IF(OR(TEXT(E62,"mm.dd")=LEFT(E63,5),TEXT(E62,"mm.dd")=TEXT(E63,"mm.dd")),"",SUM($M$8:M62)-SUM($O$8:O61)))</f>
        <v/>
      </c>
    </row>
    <row r="63" spans="2:15" s="6" customFormat="1" ht="13.5" customHeight="1" x14ac:dyDescent="0.25">
      <c r="B63" s="6" t="s">
        <v>15</v>
      </c>
      <c r="C63" s="87" t="str">
        <f t="shared" si="8"/>
        <v/>
      </c>
      <c r="D63" s="2" t="str" cm="1">
        <f t="array" ref="D63">_xll.RssMarket(C63, "銘柄名称")</f>
        <v/>
      </c>
      <c r="E63" s="2" t="str" cm="1">
        <f t="array" ref="E63">_xll.RssMarket(C63, "現在日付")</f>
        <v/>
      </c>
      <c r="F63" s="10" t="str">
        <f t="shared" ca="1" si="9"/>
        <v/>
      </c>
      <c r="G63" s="3"/>
      <c r="H63" s="4"/>
      <c r="I63" s="4"/>
      <c r="J63" s="5">
        <f t="shared" si="4"/>
        <v>0</v>
      </c>
      <c r="K63" s="4"/>
      <c r="L63" s="5">
        <f t="shared" si="5"/>
        <v>0</v>
      </c>
      <c r="M63" s="25" t="str">
        <f t="shared" si="6"/>
        <v>\0</v>
      </c>
      <c r="N63" s="23" t="str">
        <f t="shared" si="7"/>
        <v>データなし</v>
      </c>
      <c r="O63" s="24" t="str">
        <f>IF(MID(E63,3,1)=".",
   IF(OR(LEFT(E63,5)=LEFT(E64,5),LEFT(E63,5)=TEXT(E64,"mm.dd")),"",SUM($M$8:M63)-SUM($O$8:O62)),
   IF(OR(TEXT(E63,"mm.dd")=LEFT(E64,5),TEXT(E63,"mm.dd")=TEXT(E64,"mm.dd")),"",SUM($M$8:M63)-SUM($O$8:O62)))</f>
        <v/>
      </c>
    </row>
    <row r="64" spans="2:15" s="6" customFormat="1" ht="13.5" customHeight="1" x14ac:dyDescent="0.25">
      <c r="B64" s="6" t="s">
        <v>15</v>
      </c>
      <c r="C64" s="87" t="str">
        <f t="shared" si="8"/>
        <v/>
      </c>
      <c r="D64" s="2" t="str" cm="1">
        <f t="array" ref="D64">_xll.RssMarket(C64, "銘柄名称")</f>
        <v/>
      </c>
      <c r="E64" s="2" t="str" cm="1">
        <f t="array" ref="E64">_xll.RssMarket(C64, "現在日付")</f>
        <v/>
      </c>
      <c r="F64" s="10" t="str">
        <f t="shared" ca="1" si="9"/>
        <v/>
      </c>
      <c r="G64" s="3"/>
      <c r="H64" s="4"/>
      <c r="I64" s="4"/>
      <c r="J64" s="5">
        <f t="shared" si="4"/>
        <v>0</v>
      </c>
      <c r="K64" s="4"/>
      <c r="L64" s="5">
        <f t="shared" si="5"/>
        <v>0</v>
      </c>
      <c r="M64" s="25" t="str">
        <f t="shared" si="6"/>
        <v>\0</v>
      </c>
      <c r="N64" s="23" t="str">
        <f t="shared" si="7"/>
        <v>データなし</v>
      </c>
      <c r="O64" s="24" t="str">
        <f>IF(MID(E64,3,1)=".",
   IF(OR(LEFT(E64,5)=LEFT(E65,5),LEFT(E64,5)=TEXT(E65,"mm.dd")),"",SUM($M$8:M64)-SUM($O$8:O63)),
   IF(OR(TEXT(E64,"mm.dd")=LEFT(E65,5),TEXT(E64,"mm.dd")=TEXT(E65,"mm.dd")),"",SUM($M$8:M64)-SUM($O$8:O63)))</f>
        <v/>
      </c>
    </row>
    <row r="65" spans="2:15" s="6" customFormat="1" ht="13.5" customHeight="1" x14ac:dyDescent="0.25">
      <c r="B65" s="6" t="s">
        <v>15</v>
      </c>
      <c r="C65" s="87" t="str">
        <f t="shared" si="8"/>
        <v/>
      </c>
      <c r="D65" s="2" t="str" cm="1">
        <f t="array" ref="D65">_xll.RssMarket(C65, "銘柄名称")</f>
        <v/>
      </c>
      <c r="E65" s="2" t="str" cm="1">
        <f t="array" ref="E65">_xll.RssMarket(C65, "現在日付")</f>
        <v/>
      </c>
      <c r="F65" s="10" t="str">
        <f t="shared" ca="1" si="9"/>
        <v/>
      </c>
      <c r="G65" s="3"/>
      <c r="H65" s="4"/>
      <c r="I65" s="4"/>
      <c r="J65" s="5">
        <f t="shared" si="4"/>
        <v>0</v>
      </c>
      <c r="K65" s="4"/>
      <c r="L65" s="5">
        <f t="shared" si="5"/>
        <v>0</v>
      </c>
      <c r="M65" s="25" t="str">
        <f t="shared" si="6"/>
        <v>\0</v>
      </c>
      <c r="N65" s="23" t="str">
        <f t="shared" si="7"/>
        <v>データなし</v>
      </c>
      <c r="O65" s="24" t="str">
        <f>IF(MID(E65,3,1)=".",
   IF(OR(LEFT(E65,5)=LEFT(E66,5),LEFT(E65,5)=TEXT(E66,"mm.dd")),"",SUM($M$8:M65)-SUM($O$8:O64)),
   IF(OR(TEXT(E65,"mm.dd")=LEFT(E66,5),TEXT(E65,"mm.dd")=TEXT(E66,"mm.dd")),"",SUM($M$8:M65)-SUM($O$8:O64)))</f>
        <v/>
      </c>
    </row>
    <row r="66" spans="2:15" s="6" customFormat="1" ht="13.5" customHeight="1" x14ac:dyDescent="0.25">
      <c r="B66" s="6" t="s">
        <v>15</v>
      </c>
      <c r="C66" s="87" t="str">
        <f t="shared" si="8"/>
        <v/>
      </c>
      <c r="D66" s="2" t="str" cm="1">
        <f t="array" ref="D66">_xll.RssMarket(C66, "銘柄名称")</f>
        <v/>
      </c>
      <c r="E66" s="2" t="str" cm="1">
        <f t="array" ref="E66">_xll.RssMarket(C66, "現在日付")</f>
        <v/>
      </c>
      <c r="F66" s="10" t="str">
        <f t="shared" ca="1" si="9"/>
        <v/>
      </c>
      <c r="G66" s="3"/>
      <c r="H66" s="4"/>
      <c r="I66" s="4"/>
      <c r="J66" s="5">
        <f t="shared" si="4"/>
        <v>0</v>
      </c>
      <c r="K66" s="4"/>
      <c r="L66" s="5">
        <f t="shared" si="5"/>
        <v>0</v>
      </c>
      <c r="M66" s="25" t="str">
        <f t="shared" si="6"/>
        <v>\0</v>
      </c>
      <c r="N66" s="23" t="str">
        <f t="shared" si="7"/>
        <v>データなし</v>
      </c>
      <c r="O66" s="24" t="str">
        <f>IF(MID(E66,3,1)=".",
   IF(OR(LEFT(E66,5)=LEFT(E67,5),LEFT(E66,5)=TEXT(E67,"mm.dd")),"",SUM($M$8:M66)-SUM($O$8:O65)),
   IF(OR(TEXT(E66,"mm.dd")=LEFT(E67,5),TEXT(E66,"mm.dd")=TEXT(E67,"mm.dd")),"",SUM($M$8:M66)-SUM($O$8:O65)))</f>
        <v/>
      </c>
    </row>
    <row r="67" spans="2:15" s="6" customFormat="1" ht="13.5" customHeight="1" x14ac:dyDescent="0.25">
      <c r="B67" s="6" t="s">
        <v>15</v>
      </c>
      <c r="C67" s="87" t="str">
        <f t="shared" si="8"/>
        <v/>
      </c>
      <c r="D67" s="2" t="str" cm="1">
        <f t="array" ref="D67">_xll.RssMarket(C67, "銘柄名称")</f>
        <v/>
      </c>
      <c r="E67" s="2" t="str" cm="1">
        <f t="array" ref="E67">_xll.RssMarket(C67, "現在日付")</f>
        <v/>
      </c>
      <c r="F67" s="10" t="str">
        <f t="shared" ca="1" si="9"/>
        <v/>
      </c>
      <c r="G67" s="3"/>
      <c r="H67" s="4"/>
      <c r="I67" s="4"/>
      <c r="J67" s="5">
        <f t="shared" si="4"/>
        <v>0</v>
      </c>
      <c r="K67" s="4"/>
      <c r="L67" s="5">
        <f t="shared" si="5"/>
        <v>0</v>
      </c>
      <c r="M67" s="25" t="str">
        <f t="shared" si="6"/>
        <v>\0</v>
      </c>
      <c r="N67" s="23" t="str">
        <f t="shared" si="7"/>
        <v>データなし</v>
      </c>
      <c r="O67" s="24" t="str">
        <f>IF(MID(E67,3,1)=".",
   IF(OR(LEFT(E67,5)=LEFT(E68,5),LEFT(E67,5)=TEXT(E68,"mm.dd")),"",SUM($M$8:M67)-SUM($O$8:O66)),
   IF(OR(TEXT(E67,"mm.dd")=LEFT(E68,5),TEXT(E67,"mm.dd")=TEXT(E68,"mm.dd")),"",SUM($M$8:M67)-SUM($O$8:O66)))</f>
        <v/>
      </c>
    </row>
    <row r="68" spans="2:15" s="6" customFormat="1" ht="13.5" customHeight="1" x14ac:dyDescent="0.25">
      <c r="B68" s="6" t="s">
        <v>15</v>
      </c>
      <c r="C68" s="87" t="str">
        <f t="shared" si="8"/>
        <v/>
      </c>
      <c r="D68" s="2" t="str" cm="1">
        <f t="array" ref="D68">_xll.RssMarket(C68, "銘柄名称")</f>
        <v/>
      </c>
      <c r="E68" s="2" t="str" cm="1">
        <f t="array" ref="E68">_xll.RssMarket(C68, "現在日付")</f>
        <v/>
      </c>
      <c r="F68" s="10" t="str">
        <f t="shared" ca="1" si="9"/>
        <v/>
      </c>
      <c r="G68" s="3"/>
      <c r="H68" s="4"/>
      <c r="I68" s="4"/>
      <c r="J68" s="5">
        <f t="shared" si="4"/>
        <v>0</v>
      </c>
      <c r="K68" s="4"/>
      <c r="L68" s="5">
        <f t="shared" si="5"/>
        <v>0</v>
      </c>
      <c r="M68" s="25" t="str">
        <f t="shared" si="6"/>
        <v>\0</v>
      </c>
      <c r="N68" s="23" t="str">
        <f t="shared" si="7"/>
        <v>データなし</v>
      </c>
      <c r="O68" s="24" t="str">
        <f>IF(MID(E68,3,1)=".",
   IF(OR(LEFT(E68,5)=LEFT(E69,5),LEFT(E68,5)=TEXT(E69,"mm.dd")),"",SUM($M$8:M68)-SUM($O$8:O67)),
   IF(OR(TEXT(E68,"mm.dd")=LEFT(E69,5),TEXT(E68,"mm.dd")=TEXT(E69,"mm.dd")),"",SUM($M$8:M68)-SUM($O$8:O67)))</f>
        <v/>
      </c>
    </row>
    <row r="69" spans="2:15" s="6" customFormat="1" ht="13.5" customHeight="1" x14ac:dyDescent="0.25">
      <c r="B69" s="6" t="s">
        <v>15</v>
      </c>
      <c r="C69" s="87" t="str">
        <f t="shared" si="8"/>
        <v/>
      </c>
      <c r="D69" s="2" t="str" cm="1">
        <f t="array" ref="D69">_xll.RssMarket(C69, "銘柄名称")</f>
        <v/>
      </c>
      <c r="E69" s="2" t="str" cm="1">
        <f t="array" ref="E69">_xll.RssMarket(C69, "現在日付")</f>
        <v/>
      </c>
      <c r="F69" s="10" t="str">
        <f t="shared" ca="1" si="9"/>
        <v/>
      </c>
      <c r="G69" s="3"/>
      <c r="H69" s="4"/>
      <c r="I69" s="4"/>
      <c r="J69" s="5">
        <f t="shared" si="4"/>
        <v>0</v>
      </c>
      <c r="K69" s="4"/>
      <c r="L69" s="5">
        <f t="shared" si="5"/>
        <v>0</v>
      </c>
      <c r="M69" s="25" t="str">
        <f t="shared" si="6"/>
        <v>\0</v>
      </c>
      <c r="N69" s="23" t="str">
        <f t="shared" si="7"/>
        <v>データなし</v>
      </c>
      <c r="O69" s="24" t="str">
        <f>IF(MID(E69,3,1)=".",
   IF(OR(LEFT(E69,5)=LEFT(E70,5),LEFT(E69,5)=TEXT(E70,"mm.dd")),"",SUM($M$8:M69)-SUM($O$8:O68)),
   IF(OR(TEXT(E69,"mm.dd")=LEFT(E70,5),TEXT(E69,"mm.dd")=TEXT(E70,"mm.dd")),"",SUM($M$8:M69)-SUM($O$8:O68)))</f>
        <v/>
      </c>
    </row>
    <row r="70" spans="2:15" s="6" customFormat="1" ht="13.5" customHeight="1" x14ac:dyDescent="0.25">
      <c r="B70" s="6" t="s">
        <v>15</v>
      </c>
      <c r="C70" s="87" t="str">
        <f t="shared" si="8"/>
        <v/>
      </c>
      <c r="D70" s="2" t="str" cm="1">
        <f t="array" ref="D70">_xll.RssMarket(C70, "銘柄名称")</f>
        <v/>
      </c>
      <c r="E70" s="2" t="str" cm="1">
        <f t="array" ref="E70">_xll.RssMarket(C70, "現在日付")</f>
        <v/>
      </c>
      <c r="F70" s="10" t="str">
        <f t="shared" ca="1" si="9"/>
        <v/>
      </c>
      <c r="G70" s="3"/>
      <c r="H70" s="4"/>
      <c r="I70" s="4"/>
      <c r="J70" s="5">
        <f t="shared" si="4"/>
        <v>0</v>
      </c>
      <c r="K70" s="4"/>
      <c r="L70" s="5">
        <f t="shared" si="5"/>
        <v>0</v>
      </c>
      <c r="M70" s="25" t="str">
        <f t="shared" si="6"/>
        <v>\0</v>
      </c>
      <c r="N70" s="23" t="str">
        <f t="shared" si="7"/>
        <v>データなし</v>
      </c>
      <c r="O70" s="24" t="str">
        <f>IF(MID(E70,3,1)=".",
   IF(OR(LEFT(E70,5)=LEFT(E71,5),LEFT(E70,5)=TEXT(E71,"mm.dd")),"",SUM($M$8:M70)-SUM($O$8:O69)),
   IF(OR(TEXT(E70,"mm.dd")=LEFT(E71,5),TEXT(E70,"mm.dd")=TEXT(E71,"mm.dd")),"",SUM($M$8:M70)-SUM($O$8:O69)))</f>
        <v/>
      </c>
    </row>
    <row r="71" spans="2:15" s="6" customFormat="1" ht="13.5" customHeight="1" x14ac:dyDescent="0.25">
      <c r="B71" s="6" t="s">
        <v>15</v>
      </c>
      <c r="C71" s="87" t="str">
        <f t="shared" si="8"/>
        <v/>
      </c>
      <c r="D71" s="2" t="str" cm="1">
        <f t="array" ref="D71">_xll.RssMarket(C71, "銘柄名称")</f>
        <v/>
      </c>
      <c r="E71" s="2" t="str" cm="1">
        <f t="array" ref="E71">_xll.RssMarket(C71, "現在日付")</f>
        <v/>
      </c>
      <c r="F71" s="10" t="str">
        <f t="shared" ca="1" si="9"/>
        <v/>
      </c>
      <c r="G71" s="3"/>
      <c r="H71" s="4"/>
      <c r="I71" s="4"/>
      <c r="J71" s="5">
        <f t="shared" si="4"/>
        <v>0</v>
      </c>
      <c r="K71" s="4"/>
      <c r="L71" s="5">
        <f t="shared" si="5"/>
        <v>0</v>
      </c>
      <c r="M71" s="25" t="str">
        <f t="shared" si="6"/>
        <v>\0</v>
      </c>
      <c r="N71" s="23" t="str">
        <f t="shared" si="7"/>
        <v>データなし</v>
      </c>
      <c r="O71" s="24" t="str">
        <f>IF(MID(E71,3,1)=".",
   IF(OR(LEFT(E71,5)=LEFT(E72,5),LEFT(E71,5)=TEXT(E72,"mm.dd")),"",SUM($M$8:M71)-SUM($O$8:O70)),
   IF(OR(TEXT(E71,"mm.dd")=LEFT(E72,5),TEXT(E71,"mm.dd")=TEXT(E72,"mm.dd")),"",SUM($M$8:M71)-SUM($O$8:O70)))</f>
        <v/>
      </c>
    </row>
    <row r="72" spans="2:15" s="6" customFormat="1" ht="13.5" customHeight="1" x14ac:dyDescent="0.25">
      <c r="B72" s="6" t="s">
        <v>15</v>
      </c>
      <c r="C72" s="87" t="str">
        <f t="shared" si="8"/>
        <v/>
      </c>
      <c r="D72" s="2" t="str" cm="1">
        <f t="array" ref="D72">_xll.RssMarket(C72, "銘柄名称")</f>
        <v/>
      </c>
      <c r="E72" s="2" t="str" cm="1">
        <f t="array" ref="E72">_xll.RssMarket(C72, "現在日付")</f>
        <v/>
      </c>
      <c r="F72" s="10" t="str">
        <f t="shared" ca="1" si="9"/>
        <v/>
      </c>
      <c r="G72" s="3"/>
      <c r="H72" s="4"/>
      <c r="I72" s="4"/>
      <c r="J72" s="5">
        <f t="shared" si="4"/>
        <v>0</v>
      </c>
      <c r="K72" s="4"/>
      <c r="L72" s="5">
        <f t="shared" si="5"/>
        <v>0</v>
      </c>
      <c r="M72" s="25" t="str">
        <f t="shared" si="6"/>
        <v>\0</v>
      </c>
      <c r="N72" s="23" t="str">
        <f t="shared" si="7"/>
        <v>データなし</v>
      </c>
      <c r="O72" s="24" t="str">
        <f>IF(MID(E72,3,1)=".",
   IF(OR(LEFT(E72,5)=LEFT(E73,5),LEFT(E72,5)=TEXT(E73,"mm.dd")),"",SUM($M$8:M72)-SUM($O$8:O71)),
   IF(OR(TEXT(E72,"mm.dd")=LEFT(E73,5),TEXT(E72,"mm.dd")=TEXT(E73,"mm.dd")),"",SUM($M$8:M72)-SUM($O$8:O71)))</f>
        <v/>
      </c>
    </row>
    <row r="73" spans="2:15" s="6" customFormat="1" ht="13.5" customHeight="1" x14ac:dyDescent="0.25">
      <c r="B73" s="6" t="s">
        <v>15</v>
      </c>
      <c r="C73" s="87" t="str">
        <f t="shared" si="8"/>
        <v/>
      </c>
      <c r="D73" s="2" t="str" cm="1">
        <f t="array" ref="D73">_xll.RssMarket(C73, "銘柄名称")</f>
        <v/>
      </c>
      <c r="E73" s="2" t="str" cm="1">
        <f t="array" ref="E73">_xll.RssMarket(C73, "現在日付")</f>
        <v/>
      </c>
      <c r="F73" s="10" t="str">
        <f t="shared" ca="1" si="9"/>
        <v/>
      </c>
      <c r="G73" s="3"/>
      <c r="H73" s="4"/>
      <c r="I73" s="4"/>
      <c r="J73" s="5">
        <f t="shared" si="4"/>
        <v>0</v>
      </c>
      <c r="K73" s="4"/>
      <c r="L73" s="5">
        <f t="shared" si="5"/>
        <v>0</v>
      </c>
      <c r="M73" s="25" t="str">
        <f t="shared" si="6"/>
        <v>\0</v>
      </c>
      <c r="N73" s="23" t="str">
        <f t="shared" si="7"/>
        <v>データなし</v>
      </c>
      <c r="O73" s="24" t="str">
        <f>IF(MID(E73,3,1)=".",
   IF(OR(LEFT(E73,5)=LEFT(E74,5),LEFT(E73,5)=TEXT(E74,"mm.dd")),"",SUM($M$8:M73)-SUM($O$8:O72)),
   IF(OR(TEXT(E73,"mm.dd")=LEFT(E74,5),TEXT(E73,"mm.dd")=TEXT(E74,"mm.dd")),"",SUM($M$8:M73)-SUM($O$8:O72)))</f>
        <v/>
      </c>
    </row>
    <row r="74" spans="2:15" s="6" customFormat="1" ht="13.5" customHeight="1" x14ac:dyDescent="0.25">
      <c r="B74" s="6" t="s">
        <v>15</v>
      </c>
      <c r="C74" s="87" t="str">
        <f t="shared" si="8"/>
        <v/>
      </c>
      <c r="D74" s="2" t="str" cm="1">
        <f t="array" ref="D74">_xll.RssMarket(C74, "銘柄名称")</f>
        <v/>
      </c>
      <c r="E74" s="2" t="str" cm="1">
        <f t="array" ref="E74">_xll.RssMarket(C74, "現在日付")</f>
        <v/>
      </c>
      <c r="F74" s="10" t="str">
        <f t="shared" ca="1" si="9"/>
        <v/>
      </c>
      <c r="G74" s="3"/>
      <c r="H74" s="4"/>
      <c r="I74" s="4"/>
      <c r="J74" s="5">
        <f t="shared" si="4"/>
        <v>0</v>
      </c>
      <c r="K74" s="4"/>
      <c r="L74" s="5">
        <f t="shared" si="5"/>
        <v>0</v>
      </c>
      <c r="M74" s="25" t="str">
        <f t="shared" si="6"/>
        <v>\0</v>
      </c>
      <c r="N74" s="23" t="str">
        <f t="shared" si="7"/>
        <v>データなし</v>
      </c>
      <c r="O74" s="24" t="str">
        <f>IF(MID(E74,3,1)=".",
   IF(OR(LEFT(E74,5)=LEFT(E75,5),LEFT(E74,5)=TEXT(E75,"mm.dd")),"",SUM($M$8:M74)-SUM($O$8:O73)),
   IF(OR(TEXT(E74,"mm.dd")=LEFT(E75,5),TEXT(E74,"mm.dd")=TEXT(E75,"mm.dd")),"",SUM($M$8:M74)-SUM($O$8:O73)))</f>
        <v/>
      </c>
    </row>
    <row r="75" spans="2:15" s="6" customFormat="1" ht="13.5" customHeight="1" x14ac:dyDescent="0.25">
      <c r="B75" s="6" t="s">
        <v>15</v>
      </c>
      <c r="C75" s="87" t="str">
        <f t="shared" si="8"/>
        <v/>
      </c>
      <c r="D75" s="2" t="str" cm="1">
        <f t="array" ref="D75">_xll.RssMarket(C75, "銘柄名称")</f>
        <v/>
      </c>
      <c r="E75" s="2" t="str" cm="1">
        <f t="array" ref="E75">_xll.RssMarket(C75, "現在日付")</f>
        <v/>
      </c>
      <c r="F75" s="10" t="str">
        <f t="shared" ca="1" si="9"/>
        <v/>
      </c>
      <c r="G75" s="3"/>
      <c r="H75" s="4"/>
      <c r="I75" s="4"/>
      <c r="J75" s="5">
        <f t="shared" si="4"/>
        <v>0</v>
      </c>
      <c r="K75" s="4"/>
      <c r="L75" s="5">
        <f t="shared" si="5"/>
        <v>0</v>
      </c>
      <c r="M75" s="25" t="str">
        <f t="shared" si="6"/>
        <v>\0</v>
      </c>
      <c r="N75" s="23" t="str">
        <f t="shared" si="7"/>
        <v>データなし</v>
      </c>
      <c r="O75" s="24" t="str">
        <f>IF(MID(E75,3,1)=".",
   IF(OR(LEFT(E75,5)=LEFT(E76,5),LEFT(E75,5)=TEXT(E76,"mm.dd")),"",SUM($M$8:M75)-SUM($O$8:O74)),
   IF(OR(TEXT(E75,"mm.dd")=LEFT(E76,5),TEXT(E75,"mm.dd")=TEXT(E76,"mm.dd")),"",SUM($M$8:M75)-SUM($O$8:O74)))</f>
        <v/>
      </c>
    </row>
    <row r="76" spans="2:15" s="6" customFormat="1" ht="13.5" customHeight="1" x14ac:dyDescent="0.25">
      <c r="B76" s="6" t="s">
        <v>15</v>
      </c>
      <c r="C76" s="87" t="str">
        <f t="shared" si="8"/>
        <v/>
      </c>
      <c r="D76" s="2" t="str" cm="1">
        <f t="array" ref="D76">_xll.RssMarket(C76, "銘柄名称")</f>
        <v/>
      </c>
      <c r="E76" s="2" t="str" cm="1">
        <f t="array" ref="E76">_xll.RssMarket(C76, "現在日付")</f>
        <v/>
      </c>
      <c r="F76" s="10" t="str">
        <f t="shared" ca="1" si="9"/>
        <v/>
      </c>
      <c r="G76" s="3"/>
      <c r="H76" s="4"/>
      <c r="I76" s="4"/>
      <c r="J76" s="5">
        <f t="shared" si="4"/>
        <v>0</v>
      </c>
      <c r="K76" s="4"/>
      <c r="L76" s="5">
        <f t="shared" si="5"/>
        <v>0</v>
      </c>
      <c r="M76" s="25" t="str">
        <f t="shared" si="6"/>
        <v>\0</v>
      </c>
      <c r="N76" s="23" t="str">
        <f t="shared" si="7"/>
        <v>データなし</v>
      </c>
      <c r="O76" s="24" t="str">
        <f>IF(MID(E76,3,1)=".",
   IF(OR(LEFT(E76,5)=LEFT(E77,5),LEFT(E76,5)=TEXT(E77,"mm.dd")),"",SUM($M$8:M76)-SUM($O$8:O75)),
   IF(OR(TEXT(E76,"mm.dd")=LEFT(E77,5),TEXT(E76,"mm.dd")=TEXT(E77,"mm.dd")),"",SUM($M$8:M76)-SUM($O$8:O75)))</f>
        <v/>
      </c>
    </row>
    <row r="77" spans="2:15" s="6" customFormat="1" ht="13.5" customHeight="1" x14ac:dyDescent="0.25">
      <c r="B77" s="6" t="s">
        <v>15</v>
      </c>
      <c r="C77" s="87" t="str">
        <f t="shared" si="8"/>
        <v/>
      </c>
      <c r="D77" s="2" t="str" cm="1">
        <f t="array" ref="D77">_xll.RssMarket(C77, "銘柄名称")</f>
        <v/>
      </c>
      <c r="E77" s="2" t="str" cm="1">
        <f t="array" ref="E77">_xll.RssMarket(C77, "現在日付")</f>
        <v/>
      </c>
      <c r="F77" s="10" t="str">
        <f t="shared" ca="1" si="9"/>
        <v/>
      </c>
      <c r="G77" s="3"/>
      <c r="H77" s="4"/>
      <c r="I77" s="4"/>
      <c r="J77" s="5">
        <f t="shared" si="4"/>
        <v>0</v>
      </c>
      <c r="K77" s="4"/>
      <c r="L77" s="5">
        <f t="shared" si="5"/>
        <v>0</v>
      </c>
      <c r="M77" s="25" t="str">
        <f t="shared" si="6"/>
        <v>\0</v>
      </c>
      <c r="N77" s="23" t="str">
        <f t="shared" si="7"/>
        <v>データなし</v>
      </c>
      <c r="O77" s="24" t="str">
        <f>IF(MID(E77,3,1)=".",
   IF(OR(LEFT(E77,5)=LEFT(E78,5),LEFT(E77,5)=TEXT(E78,"mm.dd")),"",SUM($M$8:M77)-SUM($O$8:O76)),
   IF(OR(TEXT(E77,"mm.dd")=LEFT(E78,5),TEXT(E77,"mm.dd")=TEXT(E78,"mm.dd")),"",SUM($M$8:M77)-SUM($O$8:O76)))</f>
        <v/>
      </c>
    </row>
    <row r="78" spans="2:15" s="6" customFormat="1" ht="13.5" customHeight="1" x14ac:dyDescent="0.25">
      <c r="B78" s="6" t="s">
        <v>15</v>
      </c>
      <c r="C78" s="87" t="str">
        <f t="shared" si="8"/>
        <v/>
      </c>
      <c r="D78" s="2" t="str" cm="1">
        <f t="array" ref="D78">_xll.RssMarket(C78, "銘柄名称")</f>
        <v/>
      </c>
      <c r="E78" s="2" t="str" cm="1">
        <f t="array" ref="E78">_xll.RssMarket(C78, "現在日付")</f>
        <v/>
      </c>
      <c r="F78" s="10" t="str">
        <f t="shared" ca="1" si="9"/>
        <v/>
      </c>
      <c r="G78" s="3"/>
      <c r="H78" s="4"/>
      <c r="I78" s="4"/>
      <c r="J78" s="5">
        <f t="shared" si="4"/>
        <v>0</v>
      </c>
      <c r="K78" s="4"/>
      <c r="L78" s="5">
        <f t="shared" si="5"/>
        <v>0</v>
      </c>
      <c r="M78" s="25" t="str">
        <f t="shared" si="6"/>
        <v>\0</v>
      </c>
      <c r="N78" s="23" t="str">
        <f t="shared" si="7"/>
        <v>データなし</v>
      </c>
      <c r="O78" s="24" t="str">
        <f>IF(MID(E78,3,1)=".",
   IF(OR(LEFT(E78,5)=LEFT(E79,5),LEFT(E78,5)=TEXT(E79,"mm.dd")),"",SUM($M$8:M78)-SUM($O$8:O77)),
   IF(OR(TEXT(E78,"mm.dd")=LEFT(E79,5),TEXT(E78,"mm.dd")=TEXT(E79,"mm.dd")),"",SUM($M$8:M78)-SUM($O$8:O77)))</f>
        <v/>
      </c>
    </row>
    <row r="79" spans="2:15" s="6" customFormat="1" ht="13.5" customHeight="1" x14ac:dyDescent="0.25">
      <c r="B79" s="6" t="s">
        <v>15</v>
      </c>
      <c r="C79" s="87" t="str">
        <f t="shared" si="8"/>
        <v/>
      </c>
      <c r="D79" s="2" t="str" cm="1">
        <f t="array" ref="D79">_xll.RssMarket(C79, "銘柄名称")</f>
        <v/>
      </c>
      <c r="E79" s="2" t="str" cm="1">
        <f t="array" ref="E79">_xll.RssMarket(C79, "現在日付")</f>
        <v/>
      </c>
      <c r="F79" s="10" t="str">
        <f t="shared" ca="1" si="9"/>
        <v/>
      </c>
      <c r="G79" s="3"/>
      <c r="H79" s="4"/>
      <c r="I79" s="4"/>
      <c r="J79" s="5">
        <f t="shared" si="4"/>
        <v>0</v>
      </c>
      <c r="K79" s="4"/>
      <c r="L79" s="5">
        <f t="shared" si="5"/>
        <v>0</v>
      </c>
      <c r="M79" s="25" t="str">
        <f t="shared" si="6"/>
        <v>\0</v>
      </c>
      <c r="N79" s="23" t="str">
        <f t="shared" si="7"/>
        <v>データなし</v>
      </c>
      <c r="O79" s="24" t="str">
        <f>IF(MID(E79,3,1)=".",
   IF(OR(LEFT(E79,5)=LEFT(E80,5),LEFT(E79,5)=TEXT(E80,"mm.dd")),"",SUM($M$8:M79)-SUM($O$8:O78)),
   IF(OR(TEXT(E79,"mm.dd")=LEFT(E80,5),TEXT(E79,"mm.dd")=TEXT(E80,"mm.dd")),"",SUM($M$8:M79)-SUM($O$8:O78)))</f>
        <v/>
      </c>
    </row>
    <row r="80" spans="2:15" s="6" customFormat="1" ht="13.5" customHeight="1" x14ac:dyDescent="0.25">
      <c r="B80" s="6" t="s">
        <v>15</v>
      </c>
      <c r="C80" s="87" t="str">
        <f t="shared" si="8"/>
        <v/>
      </c>
      <c r="D80" s="2" t="str" cm="1">
        <f t="array" ref="D80">_xll.RssMarket(C80, "銘柄名称")</f>
        <v/>
      </c>
      <c r="E80" s="2" t="str" cm="1">
        <f t="array" ref="E80">_xll.RssMarket(C80, "現在日付")</f>
        <v/>
      </c>
      <c r="F80" s="10" t="str">
        <f t="shared" ca="1" si="9"/>
        <v/>
      </c>
      <c r="G80" s="3"/>
      <c r="H80" s="4"/>
      <c r="I80" s="4"/>
      <c r="J80" s="5">
        <f t="shared" si="4"/>
        <v>0</v>
      </c>
      <c r="K80" s="4"/>
      <c r="L80" s="5">
        <f t="shared" si="5"/>
        <v>0</v>
      </c>
      <c r="M80" s="25" t="str">
        <f t="shared" si="6"/>
        <v>\0</v>
      </c>
      <c r="N80" s="23" t="str">
        <f t="shared" si="7"/>
        <v>データなし</v>
      </c>
      <c r="O80" s="24" t="str">
        <f>IF(MID(E80,3,1)=".",
   IF(OR(LEFT(E80,5)=LEFT(E81,5),LEFT(E80,5)=TEXT(E81,"mm.dd")),"",SUM($M$8:M80)-SUM($O$8:O79)),
   IF(OR(TEXT(E80,"mm.dd")=LEFT(E81,5),TEXT(E80,"mm.dd")=TEXT(E81,"mm.dd")),"",SUM($M$8:M80)-SUM($O$8:O79)))</f>
        <v/>
      </c>
    </row>
    <row r="81" spans="2:15" s="6" customFormat="1" ht="13.5" customHeight="1" x14ac:dyDescent="0.25">
      <c r="B81" s="6" t="s">
        <v>15</v>
      </c>
      <c r="C81" s="87" t="str">
        <f t="shared" si="8"/>
        <v/>
      </c>
      <c r="D81" s="2" t="str" cm="1">
        <f t="array" ref="D81">_xll.RssMarket(C81, "銘柄名称")</f>
        <v/>
      </c>
      <c r="E81" s="2" t="str" cm="1">
        <f t="array" ref="E81">_xll.RssMarket(C81, "現在日付")</f>
        <v/>
      </c>
      <c r="F81" s="10" t="str">
        <f t="shared" ca="1" si="9"/>
        <v/>
      </c>
      <c r="G81" s="3"/>
      <c r="H81" s="4"/>
      <c r="I81" s="4"/>
      <c r="J81" s="5">
        <f t="shared" si="4"/>
        <v>0</v>
      </c>
      <c r="K81" s="4"/>
      <c r="L81" s="5">
        <f t="shared" si="5"/>
        <v>0</v>
      </c>
      <c r="M81" s="25" t="str">
        <f t="shared" si="6"/>
        <v>\0</v>
      </c>
      <c r="N81" s="23" t="str">
        <f t="shared" si="7"/>
        <v>データなし</v>
      </c>
      <c r="O81" s="24" t="str">
        <f>IF(MID(E81,3,1)=".",
   IF(OR(LEFT(E81,5)=LEFT(E82,5),LEFT(E81,5)=TEXT(E82,"mm.dd")),"",SUM($M$8:M81)-SUM($O$8:O80)),
   IF(OR(TEXT(E81,"mm.dd")=LEFT(E82,5),TEXT(E81,"mm.dd")=TEXT(E82,"mm.dd")),"",SUM($M$8:M81)-SUM($O$8:O80)))</f>
        <v/>
      </c>
    </row>
    <row r="82" spans="2:15" s="6" customFormat="1" ht="13.5" customHeight="1" x14ac:dyDescent="0.25">
      <c r="B82" s="6" t="s">
        <v>15</v>
      </c>
      <c r="C82" s="87" t="str">
        <f t="shared" si="8"/>
        <v/>
      </c>
      <c r="D82" s="2" t="str" cm="1">
        <f t="array" ref="D82">_xll.RssMarket(C82, "銘柄名称")</f>
        <v/>
      </c>
      <c r="E82" s="2" t="str" cm="1">
        <f t="array" ref="E82">_xll.RssMarket(C82, "現在日付")</f>
        <v/>
      </c>
      <c r="F82" s="10" t="str">
        <f t="shared" ca="1" si="9"/>
        <v/>
      </c>
      <c r="G82" s="3"/>
      <c r="H82" s="4"/>
      <c r="I82" s="4"/>
      <c r="J82" s="5">
        <f t="shared" si="4"/>
        <v>0</v>
      </c>
      <c r="K82" s="4"/>
      <c r="L82" s="5">
        <f t="shared" si="5"/>
        <v>0</v>
      </c>
      <c r="M82" s="25" t="str">
        <f t="shared" si="6"/>
        <v>\0</v>
      </c>
      <c r="N82" s="23" t="str">
        <f t="shared" si="7"/>
        <v>データなし</v>
      </c>
      <c r="O82" s="24" t="str">
        <f>IF(MID(E82,3,1)=".",
   IF(OR(LEFT(E82,5)=LEFT(E83,5),LEFT(E82,5)=TEXT(E83,"mm.dd")),"",SUM($M$8:M82)-SUM($O$8:O81)),
   IF(OR(TEXT(E82,"mm.dd")=LEFT(E83,5),TEXT(E82,"mm.dd")=TEXT(E83,"mm.dd")),"",SUM($M$8:M82)-SUM($O$8:O81)))</f>
        <v/>
      </c>
    </row>
    <row r="83" spans="2:15" s="6" customFormat="1" ht="13.5" customHeight="1" x14ac:dyDescent="0.25">
      <c r="B83" s="6" t="s">
        <v>15</v>
      </c>
      <c r="C83" s="87" t="str">
        <f t="shared" si="8"/>
        <v/>
      </c>
      <c r="D83" s="2" t="str" cm="1">
        <f t="array" ref="D83">_xll.RssMarket(C83, "銘柄名称")</f>
        <v/>
      </c>
      <c r="E83" s="2" t="str" cm="1">
        <f t="array" ref="E83">_xll.RssMarket(C83, "現在日付")</f>
        <v/>
      </c>
      <c r="F83" s="10" t="str">
        <f t="shared" ca="1" si="9"/>
        <v/>
      </c>
      <c r="G83" s="3"/>
      <c r="H83" s="4"/>
      <c r="I83" s="4"/>
      <c r="J83" s="5">
        <f t="shared" si="4"/>
        <v>0</v>
      </c>
      <c r="K83" s="4"/>
      <c r="L83" s="5">
        <f t="shared" si="5"/>
        <v>0</v>
      </c>
      <c r="M83" s="25" t="str">
        <f t="shared" si="6"/>
        <v>\0</v>
      </c>
      <c r="N83" s="23" t="str">
        <f t="shared" si="7"/>
        <v>データなし</v>
      </c>
      <c r="O83" s="24" t="str">
        <f>IF(MID(E83,3,1)=".",
   IF(OR(LEFT(E83,5)=LEFT(E84,5),LEFT(E83,5)=TEXT(E84,"mm.dd")),"",SUM($M$8:M83)-SUM($O$8:O82)),
   IF(OR(TEXT(E83,"mm.dd")=LEFT(E84,5),TEXT(E83,"mm.dd")=TEXT(E84,"mm.dd")),"",SUM($M$8:M83)-SUM($O$8:O82)))</f>
        <v/>
      </c>
    </row>
    <row r="84" spans="2:15" s="6" customFormat="1" ht="13.5" customHeight="1" x14ac:dyDescent="0.25">
      <c r="B84" s="6" t="s">
        <v>15</v>
      </c>
      <c r="C84" s="87" t="str">
        <f t="shared" si="8"/>
        <v/>
      </c>
      <c r="D84" s="2" t="str" cm="1">
        <f t="array" ref="D84">_xll.RssMarket(C84, "銘柄名称")</f>
        <v/>
      </c>
      <c r="E84" s="2" t="str" cm="1">
        <f t="array" ref="E84">_xll.RssMarket(C84, "現在日付")</f>
        <v/>
      </c>
      <c r="F84" s="10" t="str">
        <f t="shared" ca="1" si="9"/>
        <v/>
      </c>
      <c r="G84" s="3"/>
      <c r="H84" s="4"/>
      <c r="I84" s="4"/>
      <c r="J84" s="5">
        <f t="shared" si="4"/>
        <v>0</v>
      </c>
      <c r="K84" s="4"/>
      <c r="L84" s="5">
        <f t="shared" si="5"/>
        <v>0</v>
      </c>
      <c r="M84" s="25" t="str">
        <f t="shared" si="6"/>
        <v>\0</v>
      </c>
      <c r="N84" s="23" t="str">
        <f t="shared" si="7"/>
        <v>データなし</v>
      </c>
      <c r="O84" s="24" t="str">
        <f>IF(MID(E84,3,1)=".",
   IF(OR(LEFT(E84,5)=LEFT(E85,5),LEFT(E84,5)=TEXT(E85,"mm.dd")),"",SUM($M$8:M84)-SUM($O$8:O83)),
   IF(OR(TEXT(E84,"mm.dd")=LEFT(E85,5),TEXT(E84,"mm.dd")=TEXT(E85,"mm.dd")),"",SUM($M$8:M84)-SUM($O$8:O83)))</f>
        <v/>
      </c>
    </row>
    <row r="85" spans="2:15" s="6" customFormat="1" ht="13.5" customHeight="1" x14ac:dyDescent="0.25">
      <c r="B85" s="6" t="s">
        <v>15</v>
      </c>
      <c r="C85" s="87" t="str">
        <f t="shared" si="8"/>
        <v/>
      </c>
      <c r="D85" s="2" t="str" cm="1">
        <f t="array" ref="D85">_xll.RssMarket(C85, "銘柄名称")</f>
        <v/>
      </c>
      <c r="E85" s="2" t="str" cm="1">
        <f t="array" ref="E85">_xll.RssMarket(C85, "現在日付")</f>
        <v/>
      </c>
      <c r="F85" s="10" t="str">
        <f t="shared" ca="1" si="9"/>
        <v/>
      </c>
      <c r="G85" s="3"/>
      <c r="H85" s="4"/>
      <c r="I85" s="4"/>
      <c r="J85" s="5">
        <f t="shared" si="4"/>
        <v>0</v>
      </c>
      <c r="K85" s="4"/>
      <c r="L85" s="5">
        <f t="shared" si="5"/>
        <v>0</v>
      </c>
      <c r="M85" s="25" t="str">
        <f t="shared" si="6"/>
        <v>\0</v>
      </c>
      <c r="N85" s="23" t="str">
        <f t="shared" si="7"/>
        <v>データなし</v>
      </c>
      <c r="O85" s="24" t="str">
        <f>IF(MID(E85,3,1)=".",
   IF(OR(LEFT(E85,5)=LEFT(E86,5),LEFT(E85,5)=TEXT(E86,"mm.dd")),"",SUM($M$8:M85)-SUM($O$8:O84)),
   IF(OR(TEXT(E85,"mm.dd")=LEFT(E86,5),TEXT(E85,"mm.dd")=TEXT(E86,"mm.dd")),"",SUM($M$8:M85)-SUM($O$8:O84)))</f>
        <v/>
      </c>
    </row>
    <row r="86" spans="2:15" s="6" customFormat="1" ht="13.5" customHeight="1" x14ac:dyDescent="0.25">
      <c r="B86" s="6" t="s">
        <v>15</v>
      </c>
      <c r="C86" s="87" t="str">
        <f t="shared" si="8"/>
        <v/>
      </c>
      <c r="D86" s="2" t="str" cm="1">
        <f t="array" ref="D86">_xll.RssMarket(C86, "銘柄名称")</f>
        <v/>
      </c>
      <c r="E86" s="2" t="str" cm="1">
        <f t="array" ref="E86">_xll.RssMarket(C86, "現在日付")</f>
        <v/>
      </c>
      <c r="F86" s="10" t="str">
        <f t="shared" ca="1" si="9"/>
        <v/>
      </c>
      <c r="G86" s="3"/>
      <c r="H86" s="4"/>
      <c r="I86" s="4"/>
      <c r="J86" s="5">
        <f t="shared" si="4"/>
        <v>0</v>
      </c>
      <c r="K86" s="4"/>
      <c r="L86" s="5">
        <f t="shared" si="5"/>
        <v>0</v>
      </c>
      <c r="M86" s="25" t="str">
        <f t="shared" si="6"/>
        <v>\0</v>
      </c>
      <c r="N86" s="23" t="str">
        <f t="shared" si="7"/>
        <v>データなし</v>
      </c>
      <c r="O86" s="24" t="str">
        <f>IF(MID(E86,3,1)=".",
   IF(OR(LEFT(E86,5)=LEFT(E87,5),LEFT(E86,5)=TEXT(E87,"mm.dd")),"",SUM($M$8:M86)-SUM($O$8:O85)),
   IF(OR(TEXT(E86,"mm.dd")=LEFT(E87,5),TEXT(E86,"mm.dd")=TEXT(E87,"mm.dd")),"",SUM($M$8:M86)-SUM($O$8:O85)))</f>
        <v/>
      </c>
    </row>
    <row r="87" spans="2:15" s="6" customFormat="1" ht="13.5" customHeight="1" x14ac:dyDescent="0.25">
      <c r="B87" s="6" t="s">
        <v>15</v>
      </c>
      <c r="C87" s="87" t="str">
        <f t="shared" si="8"/>
        <v/>
      </c>
      <c r="D87" s="2" t="str" cm="1">
        <f t="array" ref="D87">_xll.RssMarket(C87, "銘柄名称")</f>
        <v/>
      </c>
      <c r="E87" s="2" t="str" cm="1">
        <f t="array" ref="E87">_xll.RssMarket(C87, "現在日付")</f>
        <v/>
      </c>
      <c r="F87" s="10" t="str">
        <f t="shared" ca="1" si="9"/>
        <v/>
      </c>
      <c r="G87" s="3"/>
      <c r="H87" s="4"/>
      <c r="I87" s="4"/>
      <c r="J87" s="5">
        <f t="shared" si="4"/>
        <v>0</v>
      </c>
      <c r="K87" s="4"/>
      <c r="L87" s="5">
        <f t="shared" si="5"/>
        <v>0</v>
      </c>
      <c r="M87" s="25" t="str">
        <f t="shared" si="6"/>
        <v>\0</v>
      </c>
      <c r="N87" s="23" t="str">
        <f t="shared" si="7"/>
        <v>データなし</v>
      </c>
      <c r="O87" s="24" t="str">
        <f>IF(MID(E87,3,1)=".",
   IF(OR(LEFT(E87,5)=LEFT(E88,5),LEFT(E87,5)=TEXT(E88,"mm.dd")),"",SUM($M$8:M87)-SUM($O$8:O86)),
   IF(OR(TEXT(E87,"mm.dd")=LEFT(E88,5),TEXT(E87,"mm.dd")=TEXT(E88,"mm.dd")),"",SUM($M$8:M87)-SUM($O$8:O86)))</f>
        <v/>
      </c>
    </row>
    <row r="88" spans="2:15" s="6" customFormat="1" ht="13.5" customHeight="1" x14ac:dyDescent="0.25">
      <c r="B88" s="6" t="s">
        <v>15</v>
      </c>
      <c r="C88" s="87" t="str">
        <f t="shared" si="8"/>
        <v/>
      </c>
      <c r="D88" s="2" t="str" cm="1">
        <f t="array" ref="D88">_xll.RssMarket(C88, "銘柄名称")</f>
        <v/>
      </c>
      <c r="E88" s="2" t="str" cm="1">
        <f t="array" ref="E88">_xll.RssMarket(C88, "現在日付")</f>
        <v/>
      </c>
      <c r="F88" s="10" t="str">
        <f t="shared" ca="1" si="9"/>
        <v/>
      </c>
      <c r="G88" s="3"/>
      <c r="H88" s="4"/>
      <c r="I88" s="4"/>
      <c r="J88" s="5">
        <f t="shared" si="4"/>
        <v>0</v>
      </c>
      <c r="K88" s="4"/>
      <c r="L88" s="5">
        <f t="shared" si="5"/>
        <v>0</v>
      </c>
      <c r="M88" s="25" t="str">
        <f t="shared" si="6"/>
        <v>\0</v>
      </c>
      <c r="N88" s="23" t="str">
        <f t="shared" si="7"/>
        <v>データなし</v>
      </c>
      <c r="O88" s="24" t="str">
        <f>IF(MID(E88,3,1)=".",
   IF(OR(LEFT(E88,5)=LEFT(E89,5),LEFT(E88,5)=TEXT(E89,"mm.dd")),"",SUM($M$8:M88)-SUM($O$8:O87)),
   IF(OR(TEXT(E88,"mm.dd")=LEFT(E89,5),TEXT(E88,"mm.dd")=TEXT(E89,"mm.dd")),"",SUM($M$8:M88)-SUM($O$8:O87)))</f>
        <v/>
      </c>
    </row>
    <row r="89" spans="2:15" s="6" customFormat="1" ht="13.5" customHeight="1" x14ac:dyDescent="0.25">
      <c r="B89" s="6" t="s">
        <v>15</v>
      </c>
      <c r="C89" s="87" t="str">
        <f t="shared" si="8"/>
        <v/>
      </c>
      <c r="D89" s="2" t="str" cm="1">
        <f t="array" ref="D89">_xll.RssMarket(C89, "銘柄名称")</f>
        <v/>
      </c>
      <c r="E89" s="2" t="str" cm="1">
        <f t="array" ref="E89">_xll.RssMarket(C89, "現在日付")</f>
        <v/>
      </c>
      <c r="F89" s="10" t="str">
        <f t="shared" ca="1" si="9"/>
        <v/>
      </c>
      <c r="G89" s="3"/>
      <c r="H89" s="4"/>
      <c r="I89" s="4"/>
      <c r="J89" s="5">
        <f t="shared" si="4"/>
        <v>0</v>
      </c>
      <c r="K89" s="4"/>
      <c r="L89" s="5">
        <f t="shared" si="5"/>
        <v>0</v>
      </c>
      <c r="M89" s="25" t="str">
        <f t="shared" si="6"/>
        <v>\0</v>
      </c>
      <c r="N89" s="23" t="str">
        <f t="shared" si="7"/>
        <v>データなし</v>
      </c>
      <c r="O89" s="24" t="str">
        <f>IF(MID(E89,3,1)=".",
   IF(OR(LEFT(E89,5)=LEFT(E90,5),LEFT(E89,5)=TEXT(E90,"mm.dd")),"",SUM($M$8:M89)-SUM($O$8:O88)),
   IF(OR(TEXT(E89,"mm.dd")=LEFT(E90,5),TEXT(E89,"mm.dd")=TEXT(E90,"mm.dd")),"",SUM($M$8:M89)-SUM($O$8:O88)))</f>
        <v/>
      </c>
    </row>
    <row r="90" spans="2:15" s="6" customFormat="1" ht="13.5" customHeight="1" x14ac:dyDescent="0.25">
      <c r="B90" s="6" t="s">
        <v>15</v>
      </c>
      <c r="C90" s="87" t="str">
        <f t="shared" si="8"/>
        <v/>
      </c>
      <c r="D90" s="2" t="str" cm="1">
        <f t="array" ref="D90">_xll.RssMarket(C90, "銘柄名称")</f>
        <v/>
      </c>
      <c r="E90" s="2" t="str" cm="1">
        <f t="array" ref="E90">_xll.RssMarket(C90, "現在日付")</f>
        <v/>
      </c>
      <c r="F90" s="10" t="str">
        <f t="shared" ca="1" si="9"/>
        <v/>
      </c>
      <c r="G90" s="3"/>
      <c r="H90" s="4"/>
      <c r="I90" s="4"/>
      <c r="J90" s="5">
        <f t="shared" si="4"/>
        <v>0</v>
      </c>
      <c r="K90" s="4"/>
      <c r="L90" s="5">
        <f t="shared" si="5"/>
        <v>0</v>
      </c>
      <c r="M90" s="25" t="str">
        <f t="shared" si="6"/>
        <v>\0</v>
      </c>
      <c r="N90" s="23" t="str">
        <f t="shared" si="7"/>
        <v>データなし</v>
      </c>
      <c r="O90" s="24" t="str">
        <f>IF(MID(E90,3,1)=".",
   IF(OR(LEFT(E90,5)=LEFT(E91,5),LEFT(E90,5)=TEXT(E91,"mm.dd")),"",SUM($M$8:M90)-SUM($O$8:O89)),
   IF(OR(TEXT(E90,"mm.dd")=LEFT(E91,5),TEXT(E90,"mm.dd")=TEXT(E91,"mm.dd")),"",SUM($M$8:M90)-SUM($O$8:O89)))</f>
        <v/>
      </c>
    </row>
    <row r="91" spans="2:15" s="6" customFormat="1" ht="13.5" customHeight="1" x14ac:dyDescent="0.25">
      <c r="B91" s="6" t="s">
        <v>15</v>
      </c>
      <c r="C91" s="87" t="str">
        <f t="shared" si="8"/>
        <v/>
      </c>
      <c r="D91" s="2" t="str" cm="1">
        <f t="array" ref="D91">_xll.RssMarket(C91, "銘柄名称")</f>
        <v/>
      </c>
      <c r="E91" s="2" t="str" cm="1">
        <f t="array" ref="E91">_xll.RssMarket(C91, "現在日付")</f>
        <v/>
      </c>
      <c r="F91" s="10" t="str">
        <f t="shared" ca="1" si="9"/>
        <v/>
      </c>
      <c r="G91" s="3"/>
      <c r="H91" s="4"/>
      <c r="I91" s="4"/>
      <c r="J91" s="5">
        <f t="shared" si="4"/>
        <v>0</v>
      </c>
      <c r="K91" s="4"/>
      <c r="L91" s="5">
        <f t="shared" si="5"/>
        <v>0</v>
      </c>
      <c r="M91" s="25" t="str">
        <f t="shared" si="6"/>
        <v>\0</v>
      </c>
      <c r="N91" s="23" t="str">
        <f t="shared" si="7"/>
        <v>データなし</v>
      </c>
      <c r="O91" s="24" t="str">
        <f>IF(MID(E91,3,1)=".",
   IF(OR(LEFT(E91,5)=LEFT(E92,5),LEFT(E91,5)=TEXT(E92,"mm.dd")),"",SUM($M$8:M91)-SUM($O$8:O90)),
   IF(OR(TEXT(E91,"mm.dd")=LEFT(E92,5),TEXT(E91,"mm.dd")=TEXT(E92,"mm.dd")),"",SUM($M$8:M91)-SUM($O$8:O90)))</f>
        <v/>
      </c>
    </row>
    <row r="92" spans="2:15" s="6" customFormat="1" ht="13.5" customHeight="1" x14ac:dyDescent="0.25">
      <c r="B92" s="6" t="s">
        <v>15</v>
      </c>
      <c r="C92" s="87" t="str">
        <f t="shared" si="8"/>
        <v/>
      </c>
      <c r="D92" s="2" t="str" cm="1">
        <f t="array" ref="D92">_xll.RssMarket(C92, "銘柄名称")</f>
        <v/>
      </c>
      <c r="E92" s="2" t="str" cm="1">
        <f t="array" ref="E92">_xll.RssMarket(C92, "現在日付")</f>
        <v/>
      </c>
      <c r="F92" s="10" t="str">
        <f t="shared" ca="1" si="9"/>
        <v/>
      </c>
      <c r="G92" s="3"/>
      <c r="H92" s="4"/>
      <c r="I92" s="4"/>
      <c r="J92" s="5">
        <f t="shared" si="4"/>
        <v>0</v>
      </c>
      <c r="K92" s="4"/>
      <c r="L92" s="5">
        <f t="shared" si="5"/>
        <v>0</v>
      </c>
      <c r="M92" s="25" t="str">
        <f t="shared" si="6"/>
        <v>\0</v>
      </c>
      <c r="N92" s="23" t="str">
        <f t="shared" si="7"/>
        <v>データなし</v>
      </c>
      <c r="O92" s="24" t="str">
        <f>IF(MID(E92,3,1)=".",
   IF(OR(LEFT(E92,5)=LEFT(E93,5),LEFT(E92,5)=TEXT(E93,"mm.dd")),"",SUM($M$8:M92)-SUM($O$8:O91)),
   IF(OR(TEXT(E92,"mm.dd")=LEFT(E93,5),TEXT(E92,"mm.dd")=TEXT(E93,"mm.dd")),"",SUM($M$8:M92)-SUM($O$8:O91)))</f>
        <v/>
      </c>
    </row>
    <row r="93" spans="2:15" s="6" customFormat="1" ht="13.5" customHeight="1" x14ac:dyDescent="0.25">
      <c r="B93" s="6" t="s">
        <v>15</v>
      </c>
      <c r="C93" s="87" t="str">
        <f t="shared" si="8"/>
        <v/>
      </c>
      <c r="D93" s="2" t="str" cm="1">
        <f t="array" ref="D93">_xll.RssMarket(C93, "銘柄名称")</f>
        <v/>
      </c>
      <c r="E93" s="2" t="str" cm="1">
        <f t="array" ref="E93">_xll.RssMarket(C93, "現在日付")</f>
        <v/>
      </c>
      <c r="F93" s="10" t="str">
        <f t="shared" ca="1" si="9"/>
        <v/>
      </c>
      <c r="G93" s="3"/>
      <c r="H93" s="4"/>
      <c r="I93" s="4"/>
      <c r="J93" s="5">
        <f t="shared" si="4"/>
        <v>0</v>
      </c>
      <c r="K93" s="4"/>
      <c r="L93" s="5">
        <f t="shared" si="5"/>
        <v>0</v>
      </c>
      <c r="M93" s="25" t="str">
        <f t="shared" si="6"/>
        <v>\0</v>
      </c>
      <c r="N93" s="23" t="str">
        <f t="shared" si="7"/>
        <v>データなし</v>
      </c>
      <c r="O93" s="24" t="str">
        <f>IF(MID(E93,3,1)=".",
   IF(OR(LEFT(E93,5)=LEFT(E94,5),LEFT(E93,5)=TEXT(E94,"mm.dd")),"",SUM($M$8:M93)-SUM($O$8:O92)),
   IF(OR(TEXT(E93,"mm.dd")=LEFT(E94,5),TEXT(E93,"mm.dd")=TEXT(E94,"mm.dd")),"",SUM($M$8:M93)-SUM($O$8:O92)))</f>
        <v/>
      </c>
    </row>
    <row r="94" spans="2:15" s="6" customFormat="1" ht="13.5" customHeight="1" x14ac:dyDescent="0.25">
      <c r="B94" s="6" t="s">
        <v>15</v>
      </c>
      <c r="C94" s="87" t="str">
        <f t="shared" si="8"/>
        <v/>
      </c>
      <c r="D94" s="2" t="str" cm="1">
        <f t="array" ref="D94">_xll.RssMarket(C94, "銘柄名称")</f>
        <v/>
      </c>
      <c r="E94" s="2" t="str" cm="1">
        <f t="array" ref="E94">_xll.RssMarket(C94, "現在日付")</f>
        <v/>
      </c>
      <c r="F94" s="10" t="str">
        <f t="shared" ca="1" si="9"/>
        <v/>
      </c>
      <c r="G94" s="3"/>
      <c r="H94" s="4"/>
      <c r="I94" s="4"/>
      <c r="J94" s="5">
        <f t="shared" si="4"/>
        <v>0</v>
      </c>
      <c r="K94" s="4"/>
      <c r="L94" s="5">
        <f t="shared" si="5"/>
        <v>0</v>
      </c>
      <c r="M94" s="25" t="str">
        <f t="shared" si="6"/>
        <v>\0</v>
      </c>
      <c r="N94" s="23" t="str">
        <f t="shared" si="7"/>
        <v>データなし</v>
      </c>
      <c r="O94" s="24" t="str">
        <f>IF(MID(E94,3,1)=".",
   IF(OR(LEFT(E94,5)=LEFT(E95,5),LEFT(E94,5)=TEXT(E95,"mm.dd")),"",SUM($M$8:M94)-SUM($O$8:O93)),
   IF(OR(TEXT(E94,"mm.dd")=LEFT(E95,5),TEXT(E94,"mm.dd")=TEXT(E95,"mm.dd")),"",SUM($M$8:M94)-SUM($O$8:O93)))</f>
        <v/>
      </c>
    </row>
    <row r="95" spans="2:15" s="6" customFormat="1" ht="13.5" customHeight="1" x14ac:dyDescent="0.25">
      <c r="B95" s="6" t="s">
        <v>15</v>
      </c>
      <c r="C95" s="87" t="str">
        <f t="shared" si="8"/>
        <v/>
      </c>
      <c r="D95" s="2" t="str" cm="1">
        <f t="array" ref="D95">_xll.RssMarket(C95, "銘柄名称")</f>
        <v/>
      </c>
      <c r="E95" s="2" t="str" cm="1">
        <f t="array" ref="E95">_xll.RssMarket(C95, "現在日付")</f>
        <v/>
      </c>
      <c r="F95" s="10" t="str">
        <f t="shared" ca="1" si="9"/>
        <v/>
      </c>
      <c r="G95" s="3"/>
      <c r="H95" s="4"/>
      <c r="I95" s="4"/>
      <c r="J95" s="5">
        <f t="shared" si="4"/>
        <v>0</v>
      </c>
      <c r="K95" s="4"/>
      <c r="L95" s="5">
        <f t="shared" si="5"/>
        <v>0</v>
      </c>
      <c r="M95" s="25" t="str">
        <f t="shared" si="6"/>
        <v>\0</v>
      </c>
      <c r="N95" s="23" t="str">
        <f t="shared" si="7"/>
        <v>データなし</v>
      </c>
      <c r="O95" s="24" t="str">
        <f>IF(MID(E95,3,1)=".",
   IF(OR(LEFT(E95,5)=LEFT(E96,5),LEFT(E95,5)=TEXT(E96,"mm.dd")),"",SUM($M$8:M95)-SUM($O$8:O94)),
   IF(OR(TEXT(E95,"mm.dd")=LEFT(E96,5),TEXT(E95,"mm.dd")=TEXT(E96,"mm.dd")),"",SUM($M$8:M95)-SUM($O$8:O94)))</f>
        <v/>
      </c>
    </row>
    <row r="96" spans="2:15" s="6" customFormat="1" ht="13.5" customHeight="1" x14ac:dyDescent="0.25">
      <c r="B96" s="6" t="s">
        <v>15</v>
      </c>
      <c r="C96" s="87" t="str">
        <f t="shared" si="8"/>
        <v/>
      </c>
      <c r="D96" s="2" t="str" cm="1">
        <f t="array" ref="D96">_xll.RssMarket(C96, "銘柄名称")</f>
        <v/>
      </c>
      <c r="E96" s="2" t="str" cm="1">
        <f t="array" ref="E96">_xll.RssMarket(C96, "現在日付")</f>
        <v/>
      </c>
      <c r="F96" s="10" t="str">
        <f t="shared" ca="1" si="9"/>
        <v/>
      </c>
      <c r="G96" s="3"/>
      <c r="H96" s="4"/>
      <c r="I96" s="4"/>
      <c r="J96" s="5">
        <f t="shared" si="4"/>
        <v>0</v>
      </c>
      <c r="K96" s="4"/>
      <c r="L96" s="5">
        <f t="shared" si="5"/>
        <v>0</v>
      </c>
      <c r="M96" s="25" t="str">
        <f t="shared" si="6"/>
        <v>\0</v>
      </c>
      <c r="N96" s="23" t="str">
        <f t="shared" si="7"/>
        <v>データなし</v>
      </c>
      <c r="O96" s="24" t="str">
        <f>IF(MID(E96,3,1)=".",
   IF(OR(LEFT(E96,5)=LEFT(E97,5),LEFT(E96,5)=TEXT(E97,"mm.dd")),"",SUM($M$8:M96)-SUM($O$8:O95)),
   IF(OR(TEXT(E96,"mm.dd")=LEFT(E97,5),TEXT(E96,"mm.dd")=TEXT(E97,"mm.dd")),"",SUM($M$8:M96)-SUM($O$8:O95)))</f>
        <v/>
      </c>
    </row>
    <row r="97" spans="2:15" s="6" customFormat="1" ht="13.5" customHeight="1" x14ac:dyDescent="0.25">
      <c r="B97" s="6" t="s">
        <v>15</v>
      </c>
      <c r="C97" s="87" t="str">
        <f t="shared" si="8"/>
        <v/>
      </c>
      <c r="D97" s="2" t="str" cm="1">
        <f t="array" ref="D97">_xll.RssMarket(C97, "銘柄名称")</f>
        <v/>
      </c>
      <c r="E97" s="2" t="str" cm="1">
        <f t="array" ref="E97">_xll.RssMarket(C97, "現在日付")</f>
        <v/>
      </c>
      <c r="F97" s="10" t="str">
        <f t="shared" ca="1" si="9"/>
        <v/>
      </c>
      <c r="G97" s="3"/>
      <c r="H97" s="4"/>
      <c r="I97" s="4"/>
      <c r="J97" s="5">
        <f t="shared" si="4"/>
        <v>0</v>
      </c>
      <c r="K97" s="4"/>
      <c r="L97" s="5">
        <f t="shared" si="5"/>
        <v>0</v>
      </c>
      <c r="M97" s="25" t="str">
        <f t="shared" si="6"/>
        <v>\0</v>
      </c>
      <c r="N97" s="23" t="str">
        <f t="shared" si="7"/>
        <v>データなし</v>
      </c>
      <c r="O97" s="24" t="str">
        <f>IF(MID(E97,3,1)=".",
   IF(OR(LEFT(E97,5)=LEFT(E98,5),LEFT(E97,5)=TEXT(E98,"mm.dd")),"",SUM($M$8:M97)-SUM($O$8:O96)),
   IF(OR(TEXT(E97,"mm.dd")=LEFT(E98,5),TEXT(E97,"mm.dd")=TEXT(E98,"mm.dd")),"",SUM($M$8:M97)-SUM($O$8:O96)))</f>
        <v/>
      </c>
    </row>
    <row r="98" spans="2:15" s="6" customFormat="1" ht="13.5" customHeight="1" x14ac:dyDescent="0.25">
      <c r="B98" s="6" t="s">
        <v>15</v>
      </c>
      <c r="C98" s="87" t="str">
        <f t="shared" si="8"/>
        <v/>
      </c>
      <c r="D98" s="2" t="str" cm="1">
        <f t="array" ref="D98">_xll.RssMarket(C98, "銘柄名称")</f>
        <v/>
      </c>
      <c r="E98" s="2" t="str" cm="1">
        <f t="array" ref="E98">_xll.RssMarket(C98, "現在日付")</f>
        <v/>
      </c>
      <c r="F98" s="10" t="str">
        <f t="shared" ca="1" si="9"/>
        <v/>
      </c>
      <c r="G98" s="3"/>
      <c r="H98" s="4"/>
      <c r="I98" s="4"/>
      <c r="J98" s="5">
        <f t="shared" si="4"/>
        <v>0</v>
      </c>
      <c r="K98" s="4"/>
      <c r="L98" s="5">
        <f t="shared" si="5"/>
        <v>0</v>
      </c>
      <c r="M98" s="25" t="str">
        <f t="shared" si="6"/>
        <v>\0</v>
      </c>
      <c r="N98" s="23" t="str">
        <f t="shared" si="7"/>
        <v>データなし</v>
      </c>
      <c r="O98" s="24" t="str">
        <f>IF(MID(E98,3,1)=".",
   IF(OR(LEFT(E98,5)=LEFT(E99,5),LEFT(E98,5)=TEXT(E99,"mm.dd")),"",SUM($M$8:M98)-SUM($O$8:O97)),
   IF(OR(TEXT(E98,"mm.dd")=LEFT(E99,5),TEXT(E98,"mm.dd")=TEXT(E99,"mm.dd")),"",SUM($M$8:M98)-SUM($O$8:O97)))</f>
        <v/>
      </c>
    </row>
    <row r="99" spans="2:15" s="6" customFormat="1" ht="13.5" customHeight="1" x14ac:dyDescent="0.25">
      <c r="B99" s="6" t="s">
        <v>15</v>
      </c>
      <c r="C99" s="87" t="str">
        <f t="shared" si="8"/>
        <v/>
      </c>
      <c r="D99" s="2" t="str" cm="1">
        <f t="array" ref="D99">_xll.RssMarket(C99, "銘柄名称")</f>
        <v/>
      </c>
      <c r="E99" s="2" t="str" cm="1">
        <f t="array" ref="E99">_xll.RssMarket(C99, "現在日付")</f>
        <v/>
      </c>
      <c r="F99" s="10" t="str">
        <f t="shared" ca="1" si="9"/>
        <v/>
      </c>
      <c r="G99" s="3"/>
      <c r="H99" s="4"/>
      <c r="I99" s="4"/>
      <c r="J99" s="5">
        <f t="shared" si="4"/>
        <v>0</v>
      </c>
      <c r="K99" s="4"/>
      <c r="L99" s="5">
        <f t="shared" si="5"/>
        <v>0</v>
      </c>
      <c r="M99" s="25" t="str">
        <f t="shared" si="6"/>
        <v>\0</v>
      </c>
      <c r="N99" s="23" t="str">
        <f t="shared" si="7"/>
        <v>データなし</v>
      </c>
      <c r="O99" s="24" t="str">
        <f>IF(MID(E99,3,1)=".",
   IF(OR(LEFT(E99,5)=LEFT(E100,5),LEFT(E99,5)=TEXT(E100,"mm.dd")),"",SUM($M$8:M99)-SUM($O$8:O98)),
   IF(OR(TEXT(E99,"mm.dd")=LEFT(E100,5),TEXT(E99,"mm.dd")=TEXT(E100,"mm.dd")),"",SUM($M$8:M99)-SUM($O$8:O98)))</f>
        <v/>
      </c>
    </row>
    <row r="100" spans="2:15" s="6" customFormat="1" ht="13.5" customHeight="1" x14ac:dyDescent="0.25">
      <c r="B100" s="6" t="s">
        <v>15</v>
      </c>
      <c r="C100" s="87" t="str">
        <f t="shared" ref="C100:C163" si="10">IF(COUNTIF(A:A,A100)&gt;1,"重複!","")</f>
        <v/>
      </c>
      <c r="D100" s="2" t="str" cm="1">
        <f t="array" ref="D100">_xll.RssMarket(C100, "銘柄名称")</f>
        <v/>
      </c>
      <c r="E100" s="2" t="str" cm="1">
        <f t="array" ref="E100">_xll.RssMarket(C100, "現在日付")</f>
        <v/>
      </c>
      <c r="F100" s="10" t="str">
        <f t="shared" ref="F100:F163" ca="1" si="11">IF(K100="","",TODAY())</f>
        <v/>
      </c>
      <c r="G100" s="3"/>
      <c r="H100" s="4"/>
      <c r="I100" s="4"/>
      <c r="J100" s="5">
        <f t="shared" ref="J100:J163" si="12">(G100*H100)+I100</f>
        <v>0</v>
      </c>
      <c r="K100" s="4"/>
      <c r="L100" s="5">
        <f t="shared" ref="L100:L163" si="13">G100*K100</f>
        <v>0</v>
      </c>
      <c r="M100" s="25" t="str">
        <f t="shared" ref="M100:M163" si="14">IF(OR(H100="",K100=""),"\0",IF(B100="売",(J100-L100),(L100-J100)))</f>
        <v>\0</v>
      </c>
      <c r="N100" s="23" t="str">
        <f t="shared" ref="N100:N163" si="15">IF(ISERR(M100/J100),"データなし",(M100/J100))</f>
        <v>データなし</v>
      </c>
      <c r="O100" s="24" t="str">
        <f>IF(MID(E100,3,1)=".",
   IF(OR(LEFT(E100,5)=LEFT(E101,5),LEFT(E100,5)=TEXT(E101,"mm.dd")),"",SUM($M$8:M100)-SUM($O$8:O99)),
   IF(OR(TEXT(E100,"mm.dd")=LEFT(E101,5),TEXT(E100,"mm.dd")=TEXT(E101,"mm.dd")),"",SUM($M$8:M100)-SUM($O$8:O99)))</f>
        <v/>
      </c>
    </row>
    <row r="101" spans="2:15" s="6" customFormat="1" ht="13.5" customHeight="1" x14ac:dyDescent="0.25">
      <c r="B101" s="6" t="s">
        <v>15</v>
      </c>
      <c r="C101" s="87" t="str">
        <f t="shared" si="10"/>
        <v/>
      </c>
      <c r="D101" s="2" t="str" cm="1">
        <f t="array" ref="D101">_xll.RssMarket(C101, "銘柄名称")</f>
        <v/>
      </c>
      <c r="E101" s="2" t="str" cm="1">
        <f t="array" ref="E101">_xll.RssMarket(C101, "現在日付")</f>
        <v/>
      </c>
      <c r="F101" s="10" t="str">
        <f t="shared" ca="1" si="11"/>
        <v/>
      </c>
      <c r="G101" s="3"/>
      <c r="H101" s="4"/>
      <c r="I101" s="4"/>
      <c r="J101" s="5">
        <f t="shared" si="12"/>
        <v>0</v>
      </c>
      <c r="K101" s="4"/>
      <c r="L101" s="5">
        <f t="shared" si="13"/>
        <v>0</v>
      </c>
      <c r="M101" s="25" t="str">
        <f t="shared" si="14"/>
        <v>\0</v>
      </c>
      <c r="N101" s="23" t="str">
        <f t="shared" si="15"/>
        <v>データなし</v>
      </c>
      <c r="O101" s="24" t="str">
        <f>IF(MID(E101,3,1)=".",
   IF(OR(LEFT(E101,5)=LEFT(E102,5),LEFT(E101,5)=TEXT(E102,"mm.dd")),"",SUM($M$8:M101)-SUM($O$8:O100)),
   IF(OR(TEXT(E101,"mm.dd")=LEFT(E102,5),TEXT(E101,"mm.dd")=TEXT(E102,"mm.dd")),"",SUM($M$8:M101)-SUM($O$8:O100)))</f>
        <v/>
      </c>
    </row>
    <row r="102" spans="2:15" s="6" customFormat="1" ht="13.5" customHeight="1" x14ac:dyDescent="0.25">
      <c r="B102" s="6" t="s">
        <v>15</v>
      </c>
      <c r="C102" s="87" t="str">
        <f t="shared" si="10"/>
        <v/>
      </c>
      <c r="D102" s="2" t="str" cm="1">
        <f t="array" ref="D102">_xll.RssMarket(C102, "銘柄名称")</f>
        <v/>
      </c>
      <c r="E102" s="2" t="str" cm="1">
        <f t="array" ref="E102">_xll.RssMarket(C102, "現在日付")</f>
        <v/>
      </c>
      <c r="F102" s="10" t="str">
        <f t="shared" ca="1" si="11"/>
        <v/>
      </c>
      <c r="G102" s="3"/>
      <c r="H102" s="4"/>
      <c r="I102" s="4"/>
      <c r="J102" s="5">
        <f t="shared" si="12"/>
        <v>0</v>
      </c>
      <c r="K102" s="4"/>
      <c r="L102" s="5">
        <f t="shared" si="13"/>
        <v>0</v>
      </c>
      <c r="M102" s="25" t="str">
        <f t="shared" si="14"/>
        <v>\0</v>
      </c>
      <c r="N102" s="23" t="str">
        <f t="shared" si="15"/>
        <v>データなし</v>
      </c>
      <c r="O102" s="24" t="str">
        <f>IF(MID(E102,3,1)=".",
   IF(OR(LEFT(E102,5)=LEFT(E103,5),LEFT(E102,5)=TEXT(E103,"mm.dd")),"",SUM($M$8:M102)-SUM($O$8:O101)),
   IF(OR(TEXT(E102,"mm.dd")=LEFT(E103,5),TEXT(E102,"mm.dd")=TEXT(E103,"mm.dd")),"",SUM($M$8:M102)-SUM($O$8:O101)))</f>
        <v/>
      </c>
    </row>
    <row r="103" spans="2:15" s="6" customFormat="1" ht="13.5" customHeight="1" x14ac:dyDescent="0.25">
      <c r="B103" s="6" t="s">
        <v>15</v>
      </c>
      <c r="C103" s="87" t="str">
        <f t="shared" si="10"/>
        <v/>
      </c>
      <c r="D103" s="2" t="str" cm="1">
        <f t="array" ref="D103">_xll.RssMarket(C103, "銘柄名称")</f>
        <v/>
      </c>
      <c r="E103" s="2" t="str" cm="1">
        <f t="array" ref="E103">_xll.RssMarket(C103, "現在日付")</f>
        <v/>
      </c>
      <c r="F103" s="10" t="str">
        <f t="shared" ca="1" si="11"/>
        <v/>
      </c>
      <c r="G103" s="3"/>
      <c r="H103" s="4"/>
      <c r="I103" s="4"/>
      <c r="J103" s="5">
        <f t="shared" si="12"/>
        <v>0</v>
      </c>
      <c r="K103" s="4"/>
      <c r="L103" s="5">
        <f t="shared" si="13"/>
        <v>0</v>
      </c>
      <c r="M103" s="25" t="str">
        <f t="shared" si="14"/>
        <v>\0</v>
      </c>
      <c r="N103" s="23" t="str">
        <f t="shared" si="15"/>
        <v>データなし</v>
      </c>
      <c r="O103" s="24" t="str">
        <f>IF(MID(E103,3,1)=".",
   IF(OR(LEFT(E103,5)=LEFT(E104,5),LEFT(E103,5)=TEXT(E104,"mm.dd")),"",SUM($M$8:M103)-SUM($O$8:O102)),
   IF(OR(TEXT(E103,"mm.dd")=LEFT(E104,5),TEXT(E103,"mm.dd")=TEXT(E104,"mm.dd")),"",SUM($M$8:M103)-SUM($O$8:O102)))</f>
        <v/>
      </c>
    </row>
    <row r="104" spans="2:15" s="6" customFormat="1" ht="13.5" customHeight="1" x14ac:dyDescent="0.25">
      <c r="B104" s="6" t="s">
        <v>15</v>
      </c>
      <c r="C104" s="87" t="str">
        <f t="shared" si="10"/>
        <v/>
      </c>
      <c r="D104" s="2" t="str" cm="1">
        <f t="array" ref="D104">_xll.RssMarket(C104, "銘柄名称")</f>
        <v/>
      </c>
      <c r="E104" s="2" t="str" cm="1">
        <f t="array" ref="E104">_xll.RssMarket(C104, "現在日付")</f>
        <v/>
      </c>
      <c r="F104" s="10" t="str">
        <f t="shared" ca="1" si="11"/>
        <v/>
      </c>
      <c r="G104" s="3"/>
      <c r="H104" s="4"/>
      <c r="I104" s="4"/>
      <c r="J104" s="5">
        <f t="shared" si="12"/>
        <v>0</v>
      </c>
      <c r="K104" s="4"/>
      <c r="L104" s="5">
        <f t="shared" si="13"/>
        <v>0</v>
      </c>
      <c r="M104" s="25" t="str">
        <f t="shared" si="14"/>
        <v>\0</v>
      </c>
      <c r="N104" s="23" t="str">
        <f t="shared" si="15"/>
        <v>データなし</v>
      </c>
      <c r="O104" s="24" t="str">
        <f>IF(MID(E104,3,1)=".",
   IF(OR(LEFT(E104,5)=LEFT(E105,5),LEFT(E104,5)=TEXT(E105,"mm.dd")),"",SUM($M$8:M104)-SUM($O$8:O103)),
   IF(OR(TEXT(E104,"mm.dd")=LEFT(E105,5),TEXT(E104,"mm.dd")=TEXT(E105,"mm.dd")),"",SUM($M$8:M104)-SUM($O$8:O103)))</f>
        <v/>
      </c>
    </row>
    <row r="105" spans="2:15" s="6" customFormat="1" ht="13.5" customHeight="1" x14ac:dyDescent="0.25">
      <c r="B105" s="6" t="s">
        <v>15</v>
      </c>
      <c r="C105" s="87" t="str">
        <f t="shared" si="10"/>
        <v/>
      </c>
      <c r="D105" s="2" t="str" cm="1">
        <f t="array" ref="D105">_xll.RssMarket(C105, "銘柄名称")</f>
        <v/>
      </c>
      <c r="E105" s="2" t="str" cm="1">
        <f t="array" ref="E105">_xll.RssMarket(C105, "現在日付")</f>
        <v/>
      </c>
      <c r="F105" s="10" t="str">
        <f t="shared" ca="1" si="11"/>
        <v/>
      </c>
      <c r="G105" s="3"/>
      <c r="H105" s="4"/>
      <c r="I105" s="4"/>
      <c r="J105" s="5">
        <f t="shared" si="12"/>
        <v>0</v>
      </c>
      <c r="K105" s="4"/>
      <c r="L105" s="5">
        <f t="shared" si="13"/>
        <v>0</v>
      </c>
      <c r="M105" s="25" t="str">
        <f t="shared" si="14"/>
        <v>\0</v>
      </c>
      <c r="N105" s="23" t="str">
        <f t="shared" si="15"/>
        <v>データなし</v>
      </c>
      <c r="O105" s="24" t="str">
        <f>IF(MID(E105,3,1)=".",
   IF(OR(LEFT(E105,5)=LEFT(E106,5),LEFT(E105,5)=TEXT(E106,"mm.dd")),"",SUM($M$8:M105)-SUM($O$8:O104)),
   IF(OR(TEXT(E105,"mm.dd")=LEFT(E106,5),TEXT(E105,"mm.dd")=TEXT(E106,"mm.dd")),"",SUM($M$8:M105)-SUM($O$8:O104)))</f>
        <v/>
      </c>
    </row>
    <row r="106" spans="2:15" s="6" customFormat="1" ht="13.5" customHeight="1" x14ac:dyDescent="0.25">
      <c r="B106" s="6" t="s">
        <v>15</v>
      </c>
      <c r="C106" s="87" t="str">
        <f t="shared" si="10"/>
        <v/>
      </c>
      <c r="D106" s="2" t="str" cm="1">
        <f t="array" ref="D106">_xll.RssMarket(C106, "銘柄名称")</f>
        <v/>
      </c>
      <c r="E106" s="2" t="str" cm="1">
        <f t="array" ref="E106">_xll.RssMarket(C106, "現在日付")</f>
        <v/>
      </c>
      <c r="F106" s="10" t="str">
        <f t="shared" ca="1" si="11"/>
        <v/>
      </c>
      <c r="G106" s="3"/>
      <c r="H106" s="4"/>
      <c r="I106" s="4"/>
      <c r="J106" s="5">
        <f t="shared" si="12"/>
        <v>0</v>
      </c>
      <c r="K106" s="4"/>
      <c r="L106" s="5">
        <f t="shared" si="13"/>
        <v>0</v>
      </c>
      <c r="M106" s="25" t="str">
        <f t="shared" si="14"/>
        <v>\0</v>
      </c>
      <c r="N106" s="23" t="str">
        <f t="shared" si="15"/>
        <v>データなし</v>
      </c>
      <c r="O106" s="24" t="str">
        <f>IF(MID(E106,3,1)=".",
   IF(OR(LEFT(E106,5)=LEFT(E107,5),LEFT(E106,5)=TEXT(E107,"mm.dd")),"",SUM($M$8:M106)-SUM($O$8:O105)),
   IF(OR(TEXT(E106,"mm.dd")=LEFT(E107,5),TEXT(E106,"mm.dd")=TEXT(E107,"mm.dd")),"",SUM($M$8:M106)-SUM($O$8:O105)))</f>
        <v/>
      </c>
    </row>
    <row r="107" spans="2:15" s="6" customFormat="1" ht="13.5" customHeight="1" x14ac:dyDescent="0.25">
      <c r="B107" s="6" t="s">
        <v>15</v>
      </c>
      <c r="C107" s="87" t="str">
        <f t="shared" si="10"/>
        <v/>
      </c>
      <c r="D107" s="2" t="str" cm="1">
        <f t="array" ref="D107">_xll.RssMarket(C107, "銘柄名称")</f>
        <v/>
      </c>
      <c r="E107" s="2" t="str" cm="1">
        <f t="array" ref="E107">_xll.RssMarket(C107, "現在日付")</f>
        <v/>
      </c>
      <c r="F107" s="10" t="str">
        <f t="shared" ca="1" si="11"/>
        <v/>
      </c>
      <c r="G107" s="3"/>
      <c r="H107" s="4"/>
      <c r="I107" s="4"/>
      <c r="J107" s="5">
        <f t="shared" si="12"/>
        <v>0</v>
      </c>
      <c r="K107" s="4"/>
      <c r="L107" s="5">
        <f t="shared" si="13"/>
        <v>0</v>
      </c>
      <c r="M107" s="25" t="str">
        <f t="shared" si="14"/>
        <v>\0</v>
      </c>
      <c r="N107" s="23" t="str">
        <f t="shared" si="15"/>
        <v>データなし</v>
      </c>
      <c r="O107" s="24" t="str">
        <f>IF(MID(E107,3,1)=".",
   IF(OR(LEFT(E107,5)=LEFT(E108,5),LEFT(E107,5)=TEXT(E108,"mm.dd")),"",SUM($M$8:M107)-SUM($O$8:O106)),
   IF(OR(TEXT(E107,"mm.dd")=LEFT(E108,5),TEXT(E107,"mm.dd")=TEXT(E108,"mm.dd")),"",SUM($M$8:M107)-SUM($O$8:O106)))</f>
        <v/>
      </c>
    </row>
    <row r="108" spans="2:15" s="6" customFormat="1" ht="13.5" customHeight="1" x14ac:dyDescent="0.25">
      <c r="B108" s="6" t="s">
        <v>15</v>
      </c>
      <c r="C108" s="87" t="str">
        <f t="shared" si="10"/>
        <v/>
      </c>
      <c r="D108" s="2" t="str" cm="1">
        <f t="array" ref="D108">_xll.RssMarket(C108, "銘柄名称")</f>
        <v/>
      </c>
      <c r="E108" s="2" t="str" cm="1">
        <f t="array" ref="E108">_xll.RssMarket(C108, "現在日付")</f>
        <v/>
      </c>
      <c r="F108" s="10" t="str">
        <f t="shared" ca="1" si="11"/>
        <v/>
      </c>
      <c r="G108" s="3"/>
      <c r="H108" s="4"/>
      <c r="I108" s="4"/>
      <c r="J108" s="5">
        <f t="shared" si="12"/>
        <v>0</v>
      </c>
      <c r="K108" s="4"/>
      <c r="L108" s="5">
        <f t="shared" si="13"/>
        <v>0</v>
      </c>
      <c r="M108" s="25" t="str">
        <f t="shared" si="14"/>
        <v>\0</v>
      </c>
      <c r="N108" s="23" t="str">
        <f t="shared" si="15"/>
        <v>データなし</v>
      </c>
      <c r="O108" s="24" t="str">
        <f>IF(MID(E108,3,1)=".",
   IF(OR(LEFT(E108,5)=LEFT(E109,5),LEFT(E108,5)=TEXT(E109,"mm.dd")),"",SUM($M$8:M108)-SUM($O$8:O107)),
   IF(OR(TEXT(E108,"mm.dd")=LEFT(E109,5),TEXT(E108,"mm.dd")=TEXT(E109,"mm.dd")),"",SUM($M$8:M108)-SUM($O$8:O107)))</f>
        <v/>
      </c>
    </row>
    <row r="109" spans="2:15" s="6" customFormat="1" ht="13.5" customHeight="1" x14ac:dyDescent="0.25">
      <c r="B109" s="6" t="s">
        <v>15</v>
      </c>
      <c r="C109" s="87" t="str">
        <f t="shared" si="10"/>
        <v/>
      </c>
      <c r="D109" s="2" t="str" cm="1">
        <f t="array" ref="D109">_xll.RssMarket(C109, "銘柄名称")</f>
        <v/>
      </c>
      <c r="E109" s="2" t="str" cm="1">
        <f t="array" ref="E109">_xll.RssMarket(C109, "現在日付")</f>
        <v/>
      </c>
      <c r="F109" s="10" t="str">
        <f t="shared" ca="1" si="11"/>
        <v/>
      </c>
      <c r="G109" s="3"/>
      <c r="H109" s="4"/>
      <c r="I109" s="4"/>
      <c r="J109" s="5">
        <f t="shared" si="12"/>
        <v>0</v>
      </c>
      <c r="K109" s="4"/>
      <c r="L109" s="5">
        <f t="shared" si="13"/>
        <v>0</v>
      </c>
      <c r="M109" s="25" t="str">
        <f t="shared" si="14"/>
        <v>\0</v>
      </c>
      <c r="N109" s="23" t="str">
        <f t="shared" si="15"/>
        <v>データなし</v>
      </c>
      <c r="O109" s="24" t="str">
        <f>IF(MID(E109,3,1)=".",
   IF(OR(LEFT(E109,5)=LEFT(E110,5),LEFT(E109,5)=TEXT(E110,"mm.dd")),"",SUM($M$8:M109)-SUM($O$8:O108)),
   IF(OR(TEXT(E109,"mm.dd")=LEFT(E110,5),TEXT(E109,"mm.dd")=TEXT(E110,"mm.dd")),"",SUM($M$8:M109)-SUM($O$8:O108)))</f>
        <v/>
      </c>
    </row>
    <row r="110" spans="2:15" s="6" customFormat="1" ht="13.5" customHeight="1" x14ac:dyDescent="0.25">
      <c r="B110" s="6" t="s">
        <v>15</v>
      </c>
      <c r="C110" s="87" t="str">
        <f t="shared" si="10"/>
        <v/>
      </c>
      <c r="D110" s="2" t="str" cm="1">
        <f t="array" ref="D110">_xll.RssMarket(C110, "銘柄名称")</f>
        <v/>
      </c>
      <c r="E110" s="2" t="str" cm="1">
        <f t="array" ref="E110">_xll.RssMarket(C110, "現在日付")</f>
        <v/>
      </c>
      <c r="F110" s="10" t="str">
        <f t="shared" ca="1" si="11"/>
        <v/>
      </c>
      <c r="G110" s="3"/>
      <c r="H110" s="4"/>
      <c r="I110" s="4"/>
      <c r="J110" s="5">
        <f t="shared" si="12"/>
        <v>0</v>
      </c>
      <c r="K110" s="4"/>
      <c r="L110" s="5">
        <f t="shared" si="13"/>
        <v>0</v>
      </c>
      <c r="M110" s="25" t="str">
        <f t="shared" si="14"/>
        <v>\0</v>
      </c>
      <c r="N110" s="23" t="str">
        <f t="shared" si="15"/>
        <v>データなし</v>
      </c>
      <c r="O110" s="24" t="str">
        <f>IF(MID(E110,3,1)=".",
   IF(OR(LEFT(E110,5)=LEFT(E111,5),LEFT(E110,5)=TEXT(E111,"mm.dd")),"",SUM($M$8:M110)-SUM($O$8:O109)),
   IF(OR(TEXT(E110,"mm.dd")=LEFT(E111,5),TEXT(E110,"mm.dd")=TEXT(E111,"mm.dd")),"",SUM($M$8:M110)-SUM($O$8:O109)))</f>
        <v/>
      </c>
    </row>
    <row r="111" spans="2:15" s="6" customFormat="1" ht="13.5" customHeight="1" x14ac:dyDescent="0.25">
      <c r="B111" s="6" t="s">
        <v>15</v>
      </c>
      <c r="C111" s="87" t="str">
        <f t="shared" si="10"/>
        <v/>
      </c>
      <c r="D111" s="2" t="str" cm="1">
        <f t="array" ref="D111">_xll.RssMarket(C111, "銘柄名称")</f>
        <v/>
      </c>
      <c r="E111" s="2" t="str" cm="1">
        <f t="array" ref="E111">_xll.RssMarket(C111, "現在日付")</f>
        <v/>
      </c>
      <c r="F111" s="10" t="str">
        <f t="shared" ca="1" si="11"/>
        <v/>
      </c>
      <c r="G111" s="3"/>
      <c r="H111" s="4"/>
      <c r="I111" s="4"/>
      <c r="J111" s="5">
        <f t="shared" si="12"/>
        <v>0</v>
      </c>
      <c r="K111" s="4"/>
      <c r="L111" s="5">
        <f t="shared" si="13"/>
        <v>0</v>
      </c>
      <c r="M111" s="25" t="str">
        <f t="shared" si="14"/>
        <v>\0</v>
      </c>
      <c r="N111" s="23" t="str">
        <f t="shared" si="15"/>
        <v>データなし</v>
      </c>
      <c r="O111" s="24" t="str">
        <f>IF(MID(E111,3,1)=".",
   IF(OR(LEFT(E111,5)=LEFT(E112,5),LEFT(E111,5)=TEXT(E112,"mm.dd")),"",SUM($M$8:M111)-SUM($O$8:O110)),
   IF(OR(TEXT(E111,"mm.dd")=LEFT(E112,5),TEXT(E111,"mm.dd")=TEXT(E112,"mm.dd")),"",SUM($M$8:M111)-SUM($O$8:O110)))</f>
        <v/>
      </c>
    </row>
    <row r="112" spans="2:15" s="6" customFormat="1" ht="13.5" customHeight="1" x14ac:dyDescent="0.25">
      <c r="B112" s="6" t="s">
        <v>15</v>
      </c>
      <c r="C112" s="87" t="str">
        <f t="shared" si="10"/>
        <v/>
      </c>
      <c r="D112" s="2" t="str" cm="1">
        <f t="array" ref="D112">_xll.RssMarket(C112, "銘柄名称")</f>
        <v/>
      </c>
      <c r="E112" s="2" t="str" cm="1">
        <f t="array" ref="E112">_xll.RssMarket(C112, "現在日付")</f>
        <v/>
      </c>
      <c r="F112" s="10" t="str">
        <f t="shared" ca="1" si="11"/>
        <v/>
      </c>
      <c r="G112" s="3"/>
      <c r="H112" s="4"/>
      <c r="I112" s="4"/>
      <c r="J112" s="5">
        <f t="shared" si="12"/>
        <v>0</v>
      </c>
      <c r="K112" s="4"/>
      <c r="L112" s="5">
        <f t="shared" si="13"/>
        <v>0</v>
      </c>
      <c r="M112" s="25" t="str">
        <f t="shared" si="14"/>
        <v>\0</v>
      </c>
      <c r="N112" s="23" t="str">
        <f t="shared" si="15"/>
        <v>データなし</v>
      </c>
      <c r="O112" s="24" t="str">
        <f>IF(MID(E112,3,1)=".",
   IF(OR(LEFT(E112,5)=LEFT(E113,5),LEFT(E112,5)=TEXT(E113,"mm.dd")),"",SUM($M$8:M112)-SUM($O$8:O111)),
   IF(OR(TEXT(E112,"mm.dd")=LEFT(E113,5),TEXT(E112,"mm.dd")=TEXT(E113,"mm.dd")),"",SUM($M$8:M112)-SUM($O$8:O111)))</f>
        <v/>
      </c>
    </row>
    <row r="113" spans="2:15" s="6" customFormat="1" ht="13.5" customHeight="1" x14ac:dyDescent="0.25">
      <c r="B113" s="6" t="s">
        <v>15</v>
      </c>
      <c r="C113" s="87" t="str">
        <f t="shared" si="10"/>
        <v/>
      </c>
      <c r="D113" s="2" t="str" cm="1">
        <f t="array" ref="D113">_xll.RssMarket(C113, "銘柄名称")</f>
        <v/>
      </c>
      <c r="E113" s="2" t="str" cm="1">
        <f t="array" ref="E113">_xll.RssMarket(C113, "現在日付")</f>
        <v/>
      </c>
      <c r="F113" s="10" t="str">
        <f t="shared" ca="1" si="11"/>
        <v/>
      </c>
      <c r="G113" s="3"/>
      <c r="H113" s="4"/>
      <c r="I113" s="4"/>
      <c r="J113" s="5">
        <f t="shared" si="12"/>
        <v>0</v>
      </c>
      <c r="K113" s="4"/>
      <c r="L113" s="5">
        <f t="shared" si="13"/>
        <v>0</v>
      </c>
      <c r="M113" s="25" t="str">
        <f t="shared" si="14"/>
        <v>\0</v>
      </c>
      <c r="N113" s="23" t="str">
        <f t="shared" si="15"/>
        <v>データなし</v>
      </c>
      <c r="O113" s="24" t="str">
        <f>IF(MID(E113,3,1)=".",
   IF(OR(LEFT(E113,5)=LEFT(E114,5),LEFT(E113,5)=TEXT(E114,"mm.dd")),"",SUM($M$8:M113)-SUM($O$8:O112)),
   IF(OR(TEXT(E113,"mm.dd")=LEFT(E114,5),TEXT(E113,"mm.dd")=TEXT(E114,"mm.dd")),"",SUM($M$8:M113)-SUM($O$8:O112)))</f>
        <v/>
      </c>
    </row>
    <row r="114" spans="2:15" s="6" customFormat="1" ht="13.5" customHeight="1" x14ac:dyDescent="0.25">
      <c r="B114" s="6" t="s">
        <v>15</v>
      </c>
      <c r="C114" s="87" t="str">
        <f t="shared" si="10"/>
        <v/>
      </c>
      <c r="D114" s="2" t="str" cm="1">
        <f t="array" ref="D114">_xll.RssMarket(C114, "銘柄名称")</f>
        <v/>
      </c>
      <c r="E114" s="2" t="str" cm="1">
        <f t="array" ref="E114">_xll.RssMarket(C114, "現在日付")</f>
        <v/>
      </c>
      <c r="F114" s="10" t="str">
        <f t="shared" ca="1" si="11"/>
        <v/>
      </c>
      <c r="G114" s="3"/>
      <c r="H114" s="4"/>
      <c r="I114" s="4"/>
      <c r="J114" s="5">
        <f t="shared" si="12"/>
        <v>0</v>
      </c>
      <c r="K114" s="4"/>
      <c r="L114" s="5">
        <f t="shared" si="13"/>
        <v>0</v>
      </c>
      <c r="M114" s="25" t="str">
        <f t="shared" si="14"/>
        <v>\0</v>
      </c>
      <c r="N114" s="23" t="str">
        <f t="shared" si="15"/>
        <v>データなし</v>
      </c>
      <c r="O114" s="24" t="str">
        <f>IF(MID(E114,3,1)=".",
   IF(OR(LEFT(E114,5)=LEFT(E115,5),LEFT(E114,5)=TEXT(E115,"mm.dd")),"",SUM($M$8:M114)-SUM($O$8:O113)),
   IF(OR(TEXT(E114,"mm.dd")=LEFT(E115,5),TEXT(E114,"mm.dd")=TEXT(E115,"mm.dd")),"",SUM($M$8:M114)-SUM($O$8:O113)))</f>
        <v/>
      </c>
    </row>
    <row r="115" spans="2:15" s="6" customFormat="1" ht="13.5" customHeight="1" x14ac:dyDescent="0.25">
      <c r="B115" s="6" t="s">
        <v>15</v>
      </c>
      <c r="C115" s="87" t="str">
        <f t="shared" si="10"/>
        <v/>
      </c>
      <c r="D115" s="2" t="str" cm="1">
        <f t="array" ref="D115">_xll.RssMarket(C115, "銘柄名称")</f>
        <v/>
      </c>
      <c r="E115" s="2" t="str" cm="1">
        <f t="array" ref="E115">_xll.RssMarket(C115, "現在日付")</f>
        <v/>
      </c>
      <c r="F115" s="10" t="str">
        <f t="shared" ca="1" si="11"/>
        <v/>
      </c>
      <c r="G115" s="3"/>
      <c r="H115" s="4"/>
      <c r="I115" s="4"/>
      <c r="J115" s="5">
        <f t="shared" si="12"/>
        <v>0</v>
      </c>
      <c r="K115" s="4"/>
      <c r="L115" s="5">
        <f t="shared" si="13"/>
        <v>0</v>
      </c>
      <c r="M115" s="25" t="str">
        <f t="shared" si="14"/>
        <v>\0</v>
      </c>
      <c r="N115" s="23" t="str">
        <f t="shared" si="15"/>
        <v>データなし</v>
      </c>
      <c r="O115" s="24" t="str">
        <f>IF(MID(E115,3,1)=".",
   IF(OR(LEFT(E115,5)=LEFT(E116,5),LEFT(E115,5)=TEXT(E116,"mm.dd")),"",SUM($M$8:M115)-SUM($O$8:O114)),
   IF(OR(TEXT(E115,"mm.dd")=LEFT(E116,5),TEXT(E115,"mm.dd")=TEXT(E116,"mm.dd")),"",SUM($M$8:M115)-SUM($O$8:O114)))</f>
        <v/>
      </c>
    </row>
    <row r="116" spans="2:15" s="6" customFormat="1" ht="13.5" customHeight="1" x14ac:dyDescent="0.25">
      <c r="B116" s="6" t="s">
        <v>15</v>
      </c>
      <c r="C116" s="87" t="str">
        <f t="shared" si="10"/>
        <v/>
      </c>
      <c r="D116" s="2" t="str" cm="1">
        <f t="array" ref="D116">_xll.RssMarket(C116, "銘柄名称")</f>
        <v/>
      </c>
      <c r="E116" s="2" t="str" cm="1">
        <f t="array" ref="E116">_xll.RssMarket(C116, "現在日付")</f>
        <v/>
      </c>
      <c r="F116" s="10" t="str">
        <f t="shared" ca="1" si="11"/>
        <v/>
      </c>
      <c r="G116" s="3"/>
      <c r="H116" s="4"/>
      <c r="I116" s="4"/>
      <c r="J116" s="5">
        <f t="shared" si="12"/>
        <v>0</v>
      </c>
      <c r="K116" s="4"/>
      <c r="L116" s="5">
        <f t="shared" si="13"/>
        <v>0</v>
      </c>
      <c r="M116" s="25" t="str">
        <f t="shared" si="14"/>
        <v>\0</v>
      </c>
      <c r="N116" s="23" t="str">
        <f t="shared" si="15"/>
        <v>データなし</v>
      </c>
      <c r="O116" s="24" t="str">
        <f>IF(MID(E116,3,1)=".",
   IF(OR(LEFT(E116,5)=LEFT(E117,5),LEFT(E116,5)=TEXT(E117,"mm.dd")),"",SUM($M$8:M116)-SUM($O$8:O115)),
   IF(OR(TEXT(E116,"mm.dd")=LEFT(E117,5),TEXT(E116,"mm.dd")=TEXT(E117,"mm.dd")),"",SUM($M$8:M116)-SUM($O$8:O115)))</f>
        <v/>
      </c>
    </row>
    <row r="117" spans="2:15" s="6" customFormat="1" ht="13.5" customHeight="1" x14ac:dyDescent="0.25">
      <c r="B117" s="6" t="s">
        <v>15</v>
      </c>
      <c r="C117" s="87" t="str">
        <f t="shared" si="10"/>
        <v/>
      </c>
      <c r="D117" s="2" t="str" cm="1">
        <f t="array" ref="D117">_xll.RssMarket(C117, "銘柄名称")</f>
        <v/>
      </c>
      <c r="E117" s="2" t="str" cm="1">
        <f t="array" ref="E117">_xll.RssMarket(C117, "現在日付")</f>
        <v/>
      </c>
      <c r="F117" s="10" t="str">
        <f t="shared" ca="1" si="11"/>
        <v/>
      </c>
      <c r="G117" s="3"/>
      <c r="H117" s="4"/>
      <c r="I117" s="4"/>
      <c r="J117" s="5">
        <f t="shared" si="12"/>
        <v>0</v>
      </c>
      <c r="K117" s="4"/>
      <c r="L117" s="5">
        <f t="shared" si="13"/>
        <v>0</v>
      </c>
      <c r="M117" s="25" t="str">
        <f t="shared" si="14"/>
        <v>\0</v>
      </c>
      <c r="N117" s="23" t="str">
        <f t="shared" si="15"/>
        <v>データなし</v>
      </c>
      <c r="O117" s="24" t="str">
        <f>IF(MID(E117,3,1)=".",
   IF(OR(LEFT(E117,5)=LEFT(E118,5),LEFT(E117,5)=TEXT(E118,"mm.dd")),"",SUM($M$8:M117)-SUM($O$8:O116)),
   IF(OR(TEXT(E117,"mm.dd")=LEFT(E118,5),TEXT(E117,"mm.dd")=TEXT(E118,"mm.dd")),"",SUM($M$8:M117)-SUM($O$8:O116)))</f>
        <v/>
      </c>
    </row>
    <row r="118" spans="2:15" s="6" customFormat="1" ht="13.5" customHeight="1" x14ac:dyDescent="0.25">
      <c r="B118" s="6" t="s">
        <v>15</v>
      </c>
      <c r="C118" s="87" t="str">
        <f t="shared" si="10"/>
        <v/>
      </c>
      <c r="D118" s="2" t="str" cm="1">
        <f t="array" ref="D118">_xll.RssMarket(C118, "銘柄名称")</f>
        <v/>
      </c>
      <c r="E118" s="2" t="str" cm="1">
        <f t="array" ref="E118">_xll.RssMarket(C118, "現在日付")</f>
        <v/>
      </c>
      <c r="F118" s="10" t="str">
        <f t="shared" ca="1" si="11"/>
        <v/>
      </c>
      <c r="G118" s="3"/>
      <c r="H118" s="4"/>
      <c r="I118" s="4"/>
      <c r="J118" s="5">
        <f t="shared" si="12"/>
        <v>0</v>
      </c>
      <c r="K118" s="4"/>
      <c r="L118" s="5">
        <f t="shared" si="13"/>
        <v>0</v>
      </c>
      <c r="M118" s="25" t="str">
        <f t="shared" si="14"/>
        <v>\0</v>
      </c>
      <c r="N118" s="23" t="str">
        <f t="shared" si="15"/>
        <v>データなし</v>
      </c>
      <c r="O118" s="24" t="str">
        <f>IF(MID(E118,3,1)=".",
   IF(OR(LEFT(E118,5)=LEFT(E119,5),LEFT(E118,5)=TEXT(E119,"mm.dd")),"",SUM($M$8:M118)-SUM($O$8:O117)),
   IF(OR(TEXT(E118,"mm.dd")=LEFT(E119,5),TEXT(E118,"mm.dd")=TEXT(E119,"mm.dd")),"",SUM($M$8:M118)-SUM($O$8:O117)))</f>
        <v/>
      </c>
    </row>
    <row r="119" spans="2:15" s="6" customFormat="1" ht="13.5" customHeight="1" x14ac:dyDescent="0.25">
      <c r="B119" s="6" t="s">
        <v>15</v>
      </c>
      <c r="C119" s="87" t="str">
        <f t="shared" si="10"/>
        <v/>
      </c>
      <c r="D119" s="2" t="str" cm="1">
        <f t="array" ref="D119">_xll.RssMarket(C119, "銘柄名称")</f>
        <v/>
      </c>
      <c r="E119" s="2" t="str" cm="1">
        <f t="array" ref="E119">_xll.RssMarket(C119, "現在日付")</f>
        <v/>
      </c>
      <c r="F119" s="10" t="str">
        <f t="shared" ca="1" si="11"/>
        <v/>
      </c>
      <c r="G119" s="3"/>
      <c r="H119" s="4"/>
      <c r="I119" s="4"/>
      <c r="J119" s="5">
        <f t="shared" si="12"/>
        <v>0</v>
      </c>
      <c r="K119" s="4"/>
      <c r="L119" s="5">
        <f t="shared" si="13"/>
        <v>0</v>
      </c>
      <c r="M119" s="25" t="str">
        <f t="shared" si="14"/>
        <v>\0</v>
      </c>
      <c r="N119" s="23" t="str">
        <f t="shared" si="15"/>
        <v>データなし</v>
      </c>
      <c r="O119" s="24" t="str">
        <f>IF(MID(E119,3,1)=".",
   IF(OR(LEFT(E119,5)=LEFT(E120,5),LEFT(E119,5)=TEXT(E120,"mm.dd")),"",SUM($M$8:M119)-SUM($O$8:O118)),
   IF(OR(TEXT(E119,"mm.dd")=LEFT(E120,5),TEXT(E119,"mm.dd")=TEXT(E120,"mm.dd")),"",SUM($M$8:M119)-SUM($O$8:O118)))</f>
        <v/>
      </c>
    </row>
    <row r="120" spans="2:15" s="6" customFormat="1" ht="13.5" customHeight="1" x14ac:dyDescent="0.25">
      <c r="B120" s="6" t="s">
        <v>15</v>
      </c>
      <c r="C120" s="87" t="str">
        <f t="shared" si="10"/>
        <v/>
      </c>
      <c r="D120" s="2" t="str" cm="1">
        <f t="array" ref="D120">_xll.RssMarket(C120, "銘柄名称")</f>
        <v/>
      </c>
      <c r="E120" s="2" t="str" cm="1">
        <f t="array" ref="E120">_xll.RssMarket(C120, "現在日付")</f>
        <v/>
      </c>
      <c r="F120" s="10" t="str">
        <f t="shared" ca="1" si="11"/>
        <v/>
      </c>
      <c r="G120" s="3"/>
      <c r="H120" s="4"/>
      <c r="I120" s="4"/>
      <c r="J120" s="5">
        <f t="shared" si="12"/>
        <v>0</v>
      </c>
      <c r="K120" s="4"/>
      <c r="L120" s="5">
        <f t="shared" si="13"/>
        <v>0</v>
      </c>
      <c r="M120" s="25" t="str">
        <f t="shared" si="14"/>
        <v>\0</v>
      </c>
      <c r="N120" s="23" t="str">
        <f t="shared" si="15"/>
        <v>データなし</v>
      </c>
      <c r="O120" s="24" t="str">
        <f>IF(MID(E120,3,1)=".",
   IF(OR(LEFT(E120,5)=LEFT(E121,5),LEFT(E120,5)=TEXT(E121,"mm.dd")),"",SUM($M$8:M120)-SUM($O$8:O119)),
   IF(OR(TEXT(E120,"mm.dd")=LEFT(E121,5),TEXT(E120,"mm.dd")=TEXT(E121,"mm.dd")),"",SUM($M$8:M120)-SUM($O$8:O119)))</f>
        <v/>
      </c>
    </row>
    <row r="121" spans="2:15" s="6" customFormat="1" ht="13.5" customHeight="1" x14ac:dyDescent="0.25">
      <c r="B121" s="6" t="s">
        <v>15</v>
      </c>
      <c r="C121" s="87" t="str">
        <f t="shared" si="10"/>
        <v/>
      </c>
      <c r="D121" s="2" t="str" cm="1">
        <f t="array" ref="D121">_xll.RssMarket(C121, "銘柄名称")</f>
        <v/>
      </c>
      <c r="E121" s="2" t="str" cm="1">
        <f t="array" ref="E121">_xll.RssMarket(C121, "現在日付")</f>
        <v/>
      </c>
      <c r="F121" s="10" t="str">
        <f t="shared" ca="1" si="11"/>
        <v/>
      </c>
      <c r="G121" s="3"/>
      <c r="H121" s="4"/>
      <c r="I121" s="4"/>
      <c r="J121" s="5">
        <f t="shared" si="12"/>
        <v>0</v>
      </c>
      <c r="K121" s="4"/>
      <c r="L121" s="5">
        <f t="shared" si="13"/>
        <v>0</v>
      </c>
      <c r="M121" s="25" t="str">
        <f t="shared" si="14"/>
        <v>\0</v>
      </c>
      <c r="N121" s="23" t="str">
        <f t="shared" si="15"/>
        <v>データなし</v>
      </c>
      <c r="O121" s="24" t="str">
        <f>IF(MID(E121,3,1)=".",
   IF(OR(LEFT(E121,5)=LEFT(E122,5),LEFT(E121,5)=TEXT(E122,"mm.dd")),"",SUM($M$8:M121)-SUM($O$8:O120)),
   IF(OR(TEXT(E121,"mm.dd")=LEFT(E122,5),TEXT(E121,"mm.dd")=TEXT(E122,"mm.dd")),"",SUM($M$8:M121)-SUM($O$8:O120)))</f>
        <v/>
      </c>
    </row>
    <row r="122" spans="2:15" s="6" customFormat="1" ht="13.5" customHeight="1" x14ac:dyDescent="0.25">
      <c r="B122" s="6" t="s">
        <v>15</v>
      </c>
      <c r="C122" s="87" t="str">
        <f t="shared" si="10"/>
        <v/>
      </c>
      <c r="D122" s="2" t="str" cm="1">
        <f t="array" ref="D122">_xll.RssMarket(C122, "銘柄名称")</f>
        <v/>
      </c>
      <c r="E122" s="2" t="str" cm="1">
        <f t="array" ref="E122">_xll.RssMarket(C122, "現在日付")</f>
        <v/>
      </c>
      <c r="F122" s="10" t="str">
        <f t="shared" ca="1" si="11"/>
        <v/>
      </c>
      <c r="G122" s="3"/>
      <c r="H122" s="4"/>
      <c r="I122" s="4"/>
      <c r="J122" s="5">
        <f t="shared" si="12"/>
        <v>0</v>
      </c>
      <c r="K122" s="4"/>
      <c r="L122" s="5">
        <f t="shared" si="13"/>
        <v>0</v>
      </c>
      <c r="M122" s="25" t="str">
        <f t="shared" si="14"/>
        <v>\0</v>
      </c>
      <c r="N122" s="23" t="str">
        <f t="shared" si="15"/>
        <v>データなし</v>
      </c>
      <c r="O122" s="24" t="str">
        <f>IF(MID(E122,3,1)=".",
   IF(OR(LEFT(E122,5)=LEFT(E123,5),LEFT(E122,5)=TEXT(E123,"mm.dd")),"",SUM($M$8:M122)-SUM($O$8:O121)),
   IF(OR(TEXT(E122,"mm.dd")=LEFT(E123,5),TEXT(E122,"mm.dd")=TEXT(E123,"mm.dd")),"",SUM($M$8:M122)-SUM($O$8:O121)))</f>
        <v/>
      </c>
    </row>
    <row r="123" spans="2:15" s="6" customFormat="1" ht="13.5" customHeight="1" x14ac:dyDescent="0.25">
      <c r="B123" s="6" t="s">
        <v>15</v>
      </c>
      <c r="C123" s="87" t="str">
        <f t="shared" si="10"/>
        <v/>
      </c>
      <c r="D123" s="2" t="str" cm="1">
        <f t="array" ref="D123">_xll.RssMarket(C123, "銘柄名称")</f>
        <v/>
      </c>
      <c r="E123" s="2" t="str" cm="1">
        <f t="array" ref="E123">_xll.RssMarket(C123, "現在日付")</f>
        <v/>
      </c>
      <c r="F123" s="10" t="str">
        <f t="shared" ca="1" si="11"/>
        <v/>
      </c>
      <c r="G123" s="3"/>
      <c r="H123" s="4"/>
      <c r="I123" s="4"/>
      <c r="J123" s="5">
        <f t="shared" si="12"/>
        <v>0</v>
      </c>
      <c r="K123" s="4"/>
      <c r="L123" s="5">
        <f t="shared" si="13"/>
        <v>0</v>
      </c>
      <c r="M123" s="25" t="str">
        <f t="shared" si="14"/>
        <v>\0</v>
      </c>
      <c r="N123" s="23" t="str">
        <f t="shared" si="15"/>
        <v>データなし</v>
      </c>
      <c r="O123" s="24" t="str">
        <f>IF(MID(E123,3,1)=".",
   IF(OR(LEFT(E123,5)=LEFT(E124,5),LEFT(E123,5)=TEXT(E124,"mm.dd")),"",SUM($M$8:M123)-SUM($O$8:O122)),
   IF(OR(TEXT(E123,"mm.dd")=LEFT(E124,5),TEXT(E123,"mm.dd")=TEXT(E124,"mm.dd")),"",SUM($M$8:M123)-SUM($O$8:O122)))</f>
        <v/>
      </c>
    </row>
    <row r="124" spans="2:15" s="6" customFormat="1" ht="13.5" customHeight="1" x14ac:dyDescent="0.25">
      <c r="B124" s="6" t="s">
        <v>15</v>
      </c>
      <c r="C124" s="87" t="str">
        <f t="shared" si="10"/>
        <v/>
      </c>
      <c r="D124" s="2" t="str" cm="1">
        <f t="array" ref="D124">_xll.RssMarket(C124, "銘柄名称")</f>
        <v/>
      </c>
      <c r="E124" s="2" t="str" cm="1">
        <f t="array" ref="E124">_xll.RssMarket(C124, "現在日付")</f>
        <v/>
      </c>
      <c r="F124" s="10" t="str">
        <f t="shared" ca="1" si="11"/>
        <v/>
      </c>
      <c r="G124" s="3"/>
      <c r="H124" s="4"/>
      <c r="I124" s="4"/>
      <c r="J124" s="5">
        <f t="shared" si="12"/>
        <v>0</v>
      </c>
      <c r="K124" s="4"/>
      <c r="L124" s="5">
        <f t="shared" si="13"/>
        <v>0</v>
      </c>
      <c r="M124" s="25" t="str">
        <f t="shared" si="14"/>
        <v>\0</v>
      </c>
      <c r="N124" s="23" t="str">
        <f t="shared" si="15"/>
        <v>データなし</v>
      </c>
      <c r="O124" s="24" t="str">
        <f>IF(MID(E124,3,1)=".",
   IF(OR(LEFT(E124,5)=LEFT(E125,5),LEFT(E124,5)=TEXT(E125,"mm.dd")),"",SUM($M$8:M124)-SUM($O$8:O123)),
   IF(OR(TEXT(E124,"mm.dd")=LEFT(E125,5),TEXT(E124,"mm.dd")=TEXT(E125,"mm.dd")),"",SUM($M$8:M124)-SUM($O$8:O123)))</f>
        <v/>
      </c>
    </row>
    <row r="125" spans="2:15" s="6" customFormat="1" ht="13.5" customHeight="1" x14ac:dyDescent="0.25">
      <c r="B125" s="6" t="s">
        <v>15</v>
      </c>
      <c r="C125" s="87" t="str">
        <f t="shared" si="10"/>
        <v/>
      </c>
      <c r="D125" s="2" t="str" cm="1">
        <f t="array" ref="D125">_xll.RssMarket(C125, "銘柄名称")</f>
        <v/>
      </c>
      <c r="E125" s="2" t="str" cm="1">
        <f t="array" ref="E125">_xll.RssMarket(C125, "現在日付")</f>
        <v/>
      </c>
      <c r="F125" s="10" t="str">
        <f t="shared" ca="1" si="11"/>
        <v/>
      </c>
      <c r="G125" s="3"/>
      <c r="H125" s="4"/>
      <c r="I125" s="4"/>
      <c r="J125" s="5">
        <f t="shared" si="12"/>
        <v>0</v>
      </c>
      <c r="K125" s="4"/>
      <c r="L125" s="5">
        <f t="shared" si="13"/>
        <v>0</v>
      </c>
      <c r="M125" s="25" t="str">
        <f t="shared" si="14"/>
        <v>\0</v>
      </c>
      <c r="N125" s="23" t="str">
        <f t="shared" si="15"/>
        <v>データなし</v>
      </c>
      <c r="O125" s="24" t="str">
        <f>IF(MID(E125,3,1)=".",
   IF(OR(LEFT(E125,5)=LEFT(E126,5),LEFT(E125,5)=TEXT(E126,"mm.dd")),"",SUM($M$8:M125)-SUM($O$8:O124)),
   IF(OR(TEXT(E125,"mm.dd")=LEFT(E126,5),TEXT(E125,"mm.dd")=TEXT(E126,"mm.dd")),"",SUM($M$8:M125)-SUM($O$8:O124)))</f>
        <v/>
      </c>
    </row>
    <row r="126" spans="2:15" s="6" customFormat="1" ht="13.5" customHeight="1" x14ac:dyDescent="0.25">
      <c r="B126" s="6" t="s">
        <v>15</v>
      </c>
      <c r="C126" s="87" t="str">
        <f t="shared" si="10"/>
        <v/>
      </c>
      <c r="D126" s="2" t="str" cm="1">
        <f t="array" ref="D126">_xll.RssMarket(C126, "銘柄名称")</f>
        <v/>
      </c>
      <c r="E126" s="2" t="str" cm="1">
        <f t="array" ref="E126">_xll.RssMarket(C126, "現在日付")</f>
        <v/>
      </c>
      <c r="F126" s="10" t="str">
        <f t="shared" ca="1" si="11"/>
        <v/>
      </c>
      <c r="G126" s="3"/>
      <c r="H126" s="4"/>
      <c r="I126" s="4"/>
      <c r="J126" s="5">
        <f t="shared" si="12"/>
        <v>0</v>
      </c>
      <c r="K126" s="4"/>
      <c r="L126" s="5">
        <f t="shared" si="13"/>
        <v>0</v>
      </c>
      <c r="M126" s="25" t="str">
        <f t="shared" si="14"/>
        <v>\0</v>
      </c>
      <c r="N126" s="23" t="str">
        <f t="shared" si="15"/>
        <v>データなし</v>
      </c>
      <c r="O126" s="24" t="str">
        <f>IF(MID(E126,3,1)=".",
   IF(OR(LEFT(E126,5)=LEFT(E127,5),LEFT(E126,5)=TEXT(E127,"mm.dd")),"",SUM($M$8:M126)-SUM($O$8:O125)),
   IF(OR(TEXT(E126,"mm.dd")=LEFT(E127,5),TEXT(E126,"mm.dd")=TEXT(E127,"mm.dd")),"",SUM($M$8:M126)-SUM($O$8:O125)))</f>
        <v/>
      </c>
    </row>
    <row r="127" spans="2:15" s="6" customFormat="1" ht="13.5" customHeight="1" x14ac:dyDescent="0.25">
      <c r="B127" s="6" t="s">
        <v>15</v>
      </c>
      <c r="C127" s="87" t="str">
        <f t="shared" si="10"/>
        <v/>
      </c>
      <c r="D127" s="2" t="str" cm="1">
        <f t="array" ref="D127">_xll.RssMarket(C127, "銘柄名称")</f>
        <v/>
      </c>
      <c r="E127" s="2" t="str" cm="1">
        <f t="array" ref="E127">_xll.RssMarket(C127, "現在日付")</f>
        <v/>
      </c>
      <c r="F127" s="10" t="str">
        <f t="shared" ca="1" si="11"/>
        <v/>
      </c>
      <c r="G127" s="3"/>
      <c r="H127" s="4"/>
      <c r="I127" s="4"/>
      <c r="J127" s="5">
        <f t="shared" si="12"/>
        <v>0</v>
      </c>
      <c r="K127" s="4"/>
      <c r="L127" s="5">
        <f t="shared" si="13"/>
        <v>0</v>
      </c>
      <c r="M127" s="25" t="str">
        <f t="shared" si="14"/>
        <v>\0</v>
      </c>
      <c r="N127" s="23" t="str">
        <f t="shared" si="15"/>
        <v>データなし</v>
      </c>
      <c r="O127" s="24" t="str">
        <f>IF(MID(E127,3,1)=".",
   IF(OR(LEFT(E127,5)=LEFT(E128,5),LEFT(E127,5)=TEXT(E128,"mm.dd")),"",SUM($M$8:M127)-SUM($O$8:O126)),
   IF(OR(TEXT(E127,"mm.dd")=LEFT(E128,5),TEXT(E127,"mm.dd")=TEXT(E128,"mm.dd")),"",SUM($M$8:M127)-SUM($O$8:O126)))</f>
        <v/>
      </c>
    </row>
    <row r="128" spans="2:15" s="6" customFormat="1" ht="13.5" customHeight="1" x14ac:dyDescent="0.25">
      <c r="B128" s="6" t="s">
        <v>15</v>
      </c>
      <c r="C128" s="87" t="str">
        <f t="shared" si="10"/>
        <v/>
      </c>
      <c r="D128" s="2" t="str" cm="1">
        <f t="array" ref="D128">_xll.RssMarket(C128, "銘柄名称")</f>
        <v/>
      </c>
      <c r="E128" s="2" t="str" cm="1">
        <f t="array" ref="E128">_xll.RssMarket(C128, "現在日付")</f>
        <v/>
      </c>
      <c r="F128" s="10" t="str">
        <f t="shared" ca="1" si="11"/>
        <v/>
      </c>
      <c r="G128" s="3"/>
      <c r="H128" s="4"/>
      <c r="I128" s="4"/>
      <c r="J128" s="5">
        <f t="shared" si="12"/>
        <v>0</v>
      </c>
      <c r="K128" s="4"/>
      <c r="L128" s="5">
        <f t="shared" si="13"/>
        <v>0</v>
      </c>
      <c r="M128" s="25" t="str">
        <f t="shared" si="14"/>
        <v>\0</v>
      </c>
      <c r="N128" s="23" t="str">
        <f t="shared" si="15"/>
        <v>データなし</v>
      </c>
      <c r="O128" s="24" t="str">
        <f>IF(MID(E128,3,1)=".",
   IF(OR(LEFT(E128,5)=LEFT(E129,5),LEFT(E128,5)=TEXT(E129,"mm.dd")),"",SUM($M$8:M128)-SUM($O$8:O127)),
   IF(OR(TEXT(E128,"mm.dd")=LEFT(E129,5),TEXT(E128,"mm.dd")=TEXT(E129,"mm.dd")),"",SUM($M$8:M128)-SUM($O$8:O127)))</f>
        <v/>
      </c>
    </row>
    <row r="129" spans="2:15" s="6" customFormat="1" ht="13.5" customHeight="1" x14ac:dyDescent="0.25">
      <c r="B129" s="6" t="s">
        <v>15</v>
      </c>
      <c r="C129" s="87" t="str">
        <f t="shared" si="10"/>
        <v/>
      </c>
      <c r="D129" s="2" t="str" cm="1">
        <f t="array" ref="D129">_xll.RssMarket(C129, "銘柄名称")</f>
        <v/>
      </c>
      <c r="E129" s="2" t="str" cm="1">
        <f t="array" ref="E129">_xll.RssMarket(C129, "現在日付")</f>
        <v/>
      </c>
      <c r="F129" s="10" t="str">
        <f t="shared" ca="1" si="11"/>
        <v/>
      </c>
      <c r="G129" s="3"/>
      <c r="H129" s="4"/>
      <c r="I129" s="4"/>
      <c r="J129" s="5">
        <f t="shared" si="12"/>
        <v>0</v>
      </c>
      <c r="K129" s="4"/>
      <c r="L129" s="5">
        <f t="shared" si="13"/>
        <v>0</v>
      </c>
      <c r="M129" s="25" t="str">
        <f t="shared" si="14"/>
        <v>\0</v>
      </c>
      <c r="N129" s="23" t="str">
        <f t="shared" si="15"/>
        <v>データなし</v>
      </c>
      <c r="O129" s="24" t="str">
        <f>IF(MID(E129,3,1)=".",
   IF(OR(LEFT(E129,5)=LEFT(E130,5),LEFT(E129,5)=TEXT(E130,"mm.dd")),"",SUM($M$8:M129)-SUM($O$8:O128)),
   IF(OR(TEXT(E129,"mm.dd")=LEFT(E130,5),TEXT(E129,"mm.dd")=TEXT(E130,"mm.dd")),"",SUM($M$8:M129)-SUM($O$8:O128)))</f>
        <v/>
      </c>
    </row>
    <row r="130" spans="2:15" s="6" customFormat="1" ht="13.5" customHeight="1" x14ac:dyDescent="0.25">
      <c r="B130" s="6" t="s">
        <v>15</v>
      </c>
      <c r="C130" s="87" t="str">
        <f t="shared" si="10"/>
        <v/>
      </c>
      <c r="D130" s="2" t="str" cm="1">
        <f t="array" ref="D130">_xll.RssMarket(C130, "銘柄名称")</f>
        <v/>
      </c>
      <c r="E130" s="2" t="str" cm="1">
        <f t="array" ref="E130">_xll.RssMarket(C130, "現在日付")</f>
        <v/>
      </c>
      <c r="F130" s="10" t="str">
        <f t="shared" ca="1" si="11"/>
        <v/>
      </c>
      <c r="G130" s="3"/>
      <c r="H130" s="4"/>
      <c r="I130" s="4"/>
      <c r="J130" s="5">
        <f t="shared" si="12"/>
        <v>0</v>
      </c>
      <c r="K130" s="4"/>
      <c r="L130" s="5">
        <f t="shared" si="13"/>
        <v>0</v>
      </c>
      <c r="M130" s="25" t="str">
        <f t="shared" si="14"/>
        <v>\0</v>
      </c>
      <c r="N130" s="23" t="str">
        <f t="shared" si="15"/>
        <v>データなし</v>
      </c>
      <c r="O130" s="24" t="str">
        <f>IF(MID(E130,3,1)=".",
   IF(OR(LEFT(E130,5)=LEFT(E131,5),LEFT(E130,5)=TEXT(E131,"mm.dd")),"",SUM($M$8:M130)-SUM($O$8:O129)),
   IF(OR(TEXT(E130,"mm.dd")=LEFT(E131,5),TEXT(E130,"mm.dd")=TEXT(E131,"mm.dd")),"",SUM($M$8:M130)-SUM($O$8:O129)))</f>
        <v/>
      </c>
    </row>
    <row r="131" spans="2:15" s="6" customFormat="1" ht="13.5" customHeight="1" x14ac:dyDescent="0.25">
      <c r="B131" s="6" t="s">
        <v>15</v>
      </c>
      <c r="C131" s="87" t="str">
        <f t="shared" si="10"/>
        <v/>
      </c>
      <c r="D131" s="2" t="str" cm="1">
        <f t="array" ref="D131">_xll.RssMarket(C131, "銘柄名称")</f>
        <v/>
      </c>
      <c r="E131" s="2" t="str" cm="1">
        <f t="array" ref="E131">_xll.RssMarket(C131, "現在日付")</f>
        <v/>
      </c>
      <c r="F131" s="10" t="str">
        <f t="shared" ca="1" si="11"/>
        <v/>
      </c>
      <c r="G131" s="3"/>
      <c r="H131" s="4"/>
      <c r="I131" s="4"/>
      <c r="J131" s="5">
        <f t="shared" si="12"/>
        <v>0</v>
      </c>
      <c r="K131" s="4"/>
      <c r="L131" s="5">
        <f t="shared" si="13"/>
        <v>0</v>
      </c>
      <c r="M131" s="25" t="str">
        <f t="shared" si="14"/>
        <v>\0</v>
      </c>
      <c r="N131" s="23" t="str">
        <f t="shared" si="15"/>
        <v>データなし</v>
      </c>
      <c r="O131" s="24" t="str">
        <f>IF(MID(E131,3,1)=".",
   IF(OR(LEFT(E131,5)=LEFT(E132,5),LEFT(E131,5)=TEXT(E132,"mm.dd")),"",SUM($M$8:M131)-SUM($O$8:O130)),
   IF(OR(TEXT(E131,"mm.dd")=LEFT(E132,5),TEXT(E131,"mm.dd")=TEXT(E132,"mm.dd")),"",SUM($M$8:M131)-SUM($O$8:O130)))</f>
        <v/>
      </c>
    </row>
    <row r="132" spans="2:15" s="6" customFormat="1" ht="13.5" customHeight="1" x14ac:dyDescent="0.25">
      <c r="B132" s="6" t="s">
        <v>15</v>
      </c>
      <c r="C132" s="87" t="str">
        <f t="shared" si="10"/>
        <v/>
      </c>
      <c r="D132" s="2" t="str" cm="1">
        <f t="array" ref="D132">_xll.RssMarket(C132, "銘柄名称")</f>
        <v/>
      </c>
      <c r="E132" s="2" t="str" cm="1">
        <f t="array" ref="E132">_xll.RssMarket(C132, "現在日付")</f>
        <v/>
      </c>
      <c r="F132" s="10" t="str">
        <f t="shared" ca="1" si="11"/>
        <v/>
      </c>
      <c r="G132" s="3"/>
      <c r="H132" s="4"/>
      <c r="I132" s="4"/>
      <c r="J132" s="5">
        <f t="shared" si="12"/>
        <v>0</v>
      </c>
      <c r="K132" s="4"/>
      <c r="L132" s="5">
        <f t="shared" si="13"/>
        <v>0</v>
      </c>
      <c r="M132" s="25" t="str">
        <f t="shared" si="14"/>
        <v>\0</v>
      </c>
      <c r="N132" s="23" t="str">
        <f t="shared" si="15"/>
        <v>データなし</v>
      </c>
      <c r="O132" s="24" t="str">
        <f>IF(MID(E132,3,1)=".",
   IF(OR(LEFT(E132,5)=LEFT(E133,5),LEFT(E132,5)=TEXT(E133,"mm.dd")),"",SUM($M$8:M132)-SUM($O$8:O131)),
   IF(OR(TEXT(E132,"mm.dd")=LEFT(E133,5),TEXT(E132,"mm.dd")=TEXT(E133,"mm.dd")),"",SUM($M$8:M132)-SUM($O$8:O131)))</f>
        <v/>
      </c>
    </row>
    <row r="133" spans="2:15" s="6" customFormat="1" ht="13.5" customHeight="1" x14ac:dyDescent="0.25">
      <c r="B133" s="6" t="s">
        <v>15</v>
      </c>
      <c r="C133" s="87" t="str">
        <f t="shared" si="10"/>
        <v/>
      </c>
      <c r="D133" s="2" t="str" cm="1">
        <f t="array" ref="D133">_xll.RssMarket(C133, "銘柄名称")</f>
        <v/>
      </c>
      <c r="E133" s="2" t="str" cm="1">
        <f t="array" ref="E133">_xll.RssMarket(C133, "現在日付")</f>
        <v/>
      </c>
      <c r="F133" s="10" t="str">
        <f t="shared" ca="1" si="11"/>
        <v/>
      </c>
      <c r="G133" s="3"/>
      <c r="H133" s="4"/>
      <c r="I133" s="4"/>
      <c r="J133" s="5">
        <f t="shared" si="12"/>
        <v>0</v>
      </c>
      <c r="K133" s="4"/>
      <c r="L133" s="5">
        <f t="shared" si="13"/>
        <v>0</v>
      </c>
      <c r="M133" s="25" t="str">
        <f t="shared" si="14"/>
        <v>\0</v>
      </c>
      <c r="N133" s="23" t="str">
        <f t="shared" si="15"/>
        <v>データなし</v>
      </c>
      <c r="O133" s="24" t="str">
        <f>IF(MID(E133,3,1)=".",
   IF(OR(LEFT(E133,5)=LEFT(E134,5),LEFT(E133,5)=TEXT(E134,"mm.dd")),"",SUM($M$8:M133)-SUM($O$8:O132)),
   IF(OR(TEXT(E133,"mm.dd")=LEFT(E134,5),TEXT(E133,"mm.dd")=TEXT(E134,"mm.dd")),"",SUM($M$8:M133)-SUM($O$8:O132)))</f>
        <v/>
      </c>
    </row>
    <row r="134" spans="2:15" s="6" customFormat="1" ht="13.5" customHeight="1" x14ac:dyDescent="0.25">
      <c r="B134" s="6" t="s">
        <v>15</v>
      </c>
      <c r="C134" s="87" t="str">
        <f t="shared" si="10"/>
        <v/>
      </c>
      <c r="D134" s="2" t="str" cm="1">
        <f t="array" ref="D134">_xll.RssMarket(C134, "銘柄名称")</f>
        <v/>
      </c>
      <c r="E134" s="2" t="str" cm="1">
        <f t="array" ref="E134">_xll.RssMarket(C134, "現在日付")</f>
        <v/>
      </c>
      <c r="F134" s="10" t="str">
        <f t="shared" ca="1" si="11"/>
        <v/>
      </c>
      <c r="G134" s="3"/>
      <c r="H134" s="4"/>
      <c r="I134" s="4"/>
      <c r="J134" s="5">
        <f t="shared" si="12"/>
        <v>0</v>
      </c>
      <c r="K134" s="4"/>
      <c r="L134" s="5">
        <f t="shared" si="13"/>
        <v>0</v>
      </c>
      <c r="M134" s="25" t="str">
        <f t="shared" si="14"/>
        <v>\0</v>
      </c>
      <c r="N134" s="23" t="str">
        <f t="shared" si="15"/>
        <v>データなし</v>
      </c>
      <c r="O134" s="24" t="str">
        <f>IF(MID(E134,3,1)=".",
   IF(OR(LEFT(E134,5)=LEFT(E135,5),LEFT(E134,5)=TEXT(E135,"mm.dd")),"",SUM($M$8:M134)-SUM($O$8:O133)),
   IF(OR(TEXT(E134,"mm.dd")=LEFT(E135,5),TEXT(E134,"mm.dd")=TEXT(E135,"mm.dd")),"",SUM($M$8:M134)-SUM($O$8:O133)))</f>
        <v/>
      </c>
    </row>
    <row r="135" spans="2:15" s="6" customFormat="1" ht="13.5" customHeight="1" x14ac:dyDescent="0.25">
      <c r="B135" s="6" t="s">
        <v>15</v>
      </c>
      <c r="C135" s="87" t="str">
        <f t="shared" si="10"/>
        <v/>
      </c>
      <c r="D135" s="2" t="str" cm="1">
        <f t="array" ref="D135">_xll.RssMarket(C135, "銘柄名称")</f>
        <v/>
      </c>
      <c r="E135" s="2" t="str" cm="1">
        <f t="array" ref="E135">_xll.RssMarket(C135, "現在日付")</f>
        <v/>
      </c>
      <c r="F135" s="10" t="str">
        <f t="shared" ca="1" si="11"/>
        <v/>
      </c>
      <c r="G135" s="3"/>
      <c r="H135" s="4"/>
      <c r="I135" s="4"/>
      <c r="J135" s="5">
        <f t="shared" si="12"/>
        <v>0</v>
      </c>
      <c r="K135" s="4"/>
      <c r="L135" s="5">
        <f t="shared" si="13"/>
        <v>0</v>
      </c>
      <c r="M135" s="25" t="str">
        <f t="shared" si="14"/>
        <v>\0</v>
      </c>
      <c r="N135" s="23" t="str">
        <f t="shared" si="15"/>
        <v>データなし</v>
      </c>
      <c r="O135" s="24" t="str">
        <f>IF(MID(E135,3,1)=".",
   IF(OR(LEFT(E135,5)=LEFT(E136,5),LEFT(E135,5)=TEXT(E136,"mm.dd")),"",SUM($M$8:M135)-SUM($O$8:O134)),
   IF(OR(TEXT(E135,"mm.dd")=LEFT(E136,5),TEXT(E135,"mm.dd")=TEXT(E136,"mm.dd")),"",SUM($M$8:M135)-SUM($O$8:O134)))</f>
        <v/>
      </c>
    </row>
    <row r="136" spans="2:15" s="6" customFormat="1" ht="13.5" customHeight="1" x14ac:dyDescent="0.25">
      <c r="B136" s="6" t="s">
        <v>15</v>
      </c>
      <c r="C136" s="87" t="str">
        <f t="shared" si="10"/>
        <v/>
      </c>
      <c r="D136" s="2" t="str" cm="1">
        <f t="array" ref="D136">_xll.RssMarket(C136, "銘柄名称")</f>
        <v/>
      </c>
      <c r="E136" s="2" t="str" cm="1">
        <f t="array" ref="E136">_xll.RssMarket(C136, "現在日付")</f>
        <v/>
      </c>
      <c r="F136" s="10" t="str">
        <f t="shared" ca="1" si="11"/>
        <v/>
      </c>
      <c r="G136" s="3"/>
      <c r="H136" s="4"/>
      <c r="I136" s="4"/>
      <c r="J136" s="5">
        <f t="shared" si="12"/>
        <v>0</v>
      </c>
      <c r="K136" s="4"/>
      <c r="L136" s="5">
        <f t="shared" si="13"/>
        <v>0</v>
      </c>
      <c r="M136" s="25" t="str">
        <f t="shared" si="14"/>
        <v>\0</v>
      </c>
      <c r="N136" s="23" t="str">
        <f t="shared" si="15"/>
        <v>データなし</v>
      </c>
      <c r="O136" s="24" t="str">
        <f>IF(MID(E136,3,1)=".",
   IF(OR(LEFT(E136,5)=LEFT(E137,5),LEFT(E136,5)=TEXT(E137,"mm.dd")),"",SUM($M$8:M136)-SUM($O$8:O135)),
   IF(OR(TEXT(E136,"mm.dd")=LEFT(E137,5),TEXT(E136,"mm.dd")=TEXT(E137,"mm.dd")),"",SUM($M$8:M136)-SUM($O$8:O135)))</f>
        <v/>
      </c>
    </row>
    <row r="137" spans="2:15" s="6" customFormat="1" ht="13.5" customHeight="1" x14ac:dyDescent="0.25">
      <c r="B137" s="6" t="s">
        <v>15</v>
      </c>
      <c r="C137" s="87" t="str">
        <f t="shared" si="10"/>
        <v/>
      </c>
      <c r="D137" s="2" t="str" cm="1">
        <f t="array" ref="D137">_xll.RssMarket(C137, "銘柄名称")</f>
        <v/>
      </c>
      <c r="E137" s="2" t="str" cm="1">
        <f t="array" ref="E137">_xll.RssMarket(C137, "現在日付")</f>
        <v/>
      </c>
      <c r="F137" s="10" t="str">
        <f t="shared" ca="1" si="11"/>
        <v/>
      </c>
      <c r="G137" s="3"/>
      <c r="H137" s="4"/>
      <c r="I137" s="4"/>
      <c r="J137" s="5">
        <f t="shared" si="12"/>
        <v>0</v>
      </c>
      <c r="K137" s="4"/>
      <c r="L137" s="5">
        <f t="shared" si="13"/>
        <v>0</v>
      </c>
      <c r="M137" s="25" t="str">
        <f t="shared" si="14"/>
        <v>\0</v>
      </c>
      <c r="N137" s="23" t="str">
        <f t="shared" si="15"/>
        <v>データなし</v>
      </c>
      <c r="O137" s="24" t="str">
        <f>IF(MID(E137,3,1)=".",
   IF(OR(LEFT(E137,5)=LEFT(E138,5),LEFT(E137,5)=TEXT(E138,"mm.dd")),"",SUM($M$8:M137)-SUM($O$8:O136)),
   IF(OR(TEXT(E137,"mm.dd")=LEFT(E138,5),TEXT(E137,"mm.dd")=TEXT(E138,"mm.dd")),"",SUM($M$8:M137)-SUM($O$8:O136)))</f>
        <v/>
      </c>
    </row>
    <row r="138" spans="2:15" s="6" customFormat="1" ht="13.5" customHeight="1" x14ac:dyDescent="0.25">
      <c r="B138" s="6" t="s">
        <v>15</v>
      </c>
      <c r="C138" s="87" t="str">
        <f t="shared" si="10"/>
        <v/>
      </c>
      <c r="D138" s="2" t="str" cm="1">
        <f t="array" ref="D138">_xll.RssMarket(C138, "銘柄名称")</f>
        <v/>
      </c>
      <c r="E138" s="2" t="str" cm="1">
        <f t="array" ref="E138">_xll.RssMarket(C138, "現在日付")</f>
        <v/>
      </c>
      <c r="F138" s="10" t="str">
        <f t="shared" ca="1" si="11"/>
        <v/>
      </c>
      <c r="G138" s="3"/>
      <c r="H138" s="4"/>
      <c r="I138" s="4"/>
      <c r="J138" s="5">
        <f t="shared" si="12"/>
        <v>0</v>
      </c>
      <c r="K138" s="4"/>
      <c r="L138" s="5">
        <f t="shared" si="13"/>
        <v>0</v>
      </c>
      <c r="M138" s="25" t="str">
        <f t="shared" si="14"/>
        <v>\0</v>
      </c>
      <c r="N138" s="23" t="str">
        <f t="shared" si="15"/>
        <v>データなし</v>
      </c>
      <c r="O138" s="24" t="str">
        <f>IF(MID(E138,3,1)=".",
   IF(OR(LEFT(E138,5)=LEFT(E139,5),LEFT(E138,5)=TEXT(E139,"mm.dd")),"",SUM($M$8:M138)-SUM($O$8:O137)),
   IF(OR(TEXT(E138,"mm.dd")=LEFT(E139,5),TEXT(E138,"mm.dd")=TEXT(E139,"mm.dd")),"",SUM($M$8:M138)-SUM($O$8:O137)))</f>
        <v/>
      </c>
    </row>
    <row r="139" spans="2:15" s="6" customFormat="1" ht="13.5" customHeight="1" x14ac:dyDescent="0.25">
      <c r="B139" s="6" t="s">
        <v>15</v>
      </c>
      <c r="C139" s="87" t="str">
        <f t="shared" si="10"/>
        <v/>
      </c>
      <c r="D139" s="2" t="str" cm="1">
        <f t="array" ref="D139">_xll.RssMarket(C139, "銘柄名称")</f>
        <v/>
      </c>
      <c r="E139" s="2" t="str" cm="1">
        <f t="array" ref="E139">_xll.RssMarket(C139, "現在日付")</f>
        <v/>
      </c>
      <c r="F139" s="10" t="str">
        <f t="shared" ca="1" si="11"/>
        <v/>
      </c>
      <c r="G139" s="3"/>
      <c r="H139" s="4"/>
      <c r="I139" s="4"/>
      <c r="J139" s="5">
        <f t="shared" si="12"/>
        <v>0</v>
      </c>
      <c r="K139" s="4"/>
      <c r="L139" s="5">
        <f t="shared" si="13"/>
        <v>0</v>
      </c>
      <c r="M139" s="25" t="str">
        <f t="shared" si="14"/>
        <v>\0</v>
      </c>
      <c r="N139" s="23" t="str">
        <f t="shared" si="15"/>
        <v>データなし</v>
      </c>
      <c r="O139" s="24" t="str">
        <f>IF(MID(E139,3,1)=".",
   IF(OR(LEFT(E139,5)=LEFT(E140,5),LEFT(E139,5)=TEXT(E140,"mm.dd")),"",SUM($M$8:M139)-SUM($O$8:O138)),
   IF(OR(TEXT(E139,"mm.dd")=LEFT(E140,5),TEXT(E139,"mm.dd")=TEXT(E140,"mm.dd")),"",SUM($M$8:M139)-SUM($O$8:O138)))</f>
        <v/>
      </c>
    </row>
    <row r="140" spans="2:15" s="6" customFormat="1" ht="13.5" customHeight="1" x14ac:dyDescent="0.25">
      <c r="B140" s="6" t="s">
        <v>15</v>
      </c>
      <c r="C140" s="87" t="str">
        <f t="shared" si="10"/>
        <v/>
      </c>
      <c r="D140" s="2" t="str" cm="1">
        <f t="array" ref="D140">_xll.RssMarket(C140, "銘柄名称")</f>
        <v/>
      </c>
      <c r="E140" s="2" t="str" cm="1">
        <f t="array" ref="E140">_xll.RssMarket(C140, "現在日付")</f>
        <v/>
      </c>
      <c r="F140" s="10" t="str">
        <f t="shared" ca="1" si="11"/>
        <v/>
      </c>
      <c r="G140" s="3"/>
      <c r="H140" s="4"/>
      <c r="I140" s="4"/>
      <c r="J140" s="5">
        <f t="shared" si="12"/>
        <v>0</v>
      </c>
      <c r="K140" s="4"/>
      <c r="L140" s="5">
        <f t="shared" si="13"/>
        <v>0</v>
      </c>
      <c r="M140" s="25" t="str">
        <f t="shared" si="14"/>
        <v>\0</v>
      </c>
      <c r="N140" s="23" t="str">
        <f t="shared" si="15"/>
        <v>データなし</v>
      </c>
      <c r="O140" s="24" t="str">
        <f>IF(MID(E140,3,1)=".",
   IF(OR(LEFT(E140,5)=LEFT(E141,5),LEFT(E140,5)=TEXT(E141,"mm.dd")),"",SUM($M$8:M140)-SUM($O$8:O139)),
   IF(OR(TEXT(E140,"mm.dd")=LEFT(E141,5),TEXT(E140,"mm.dd")=TEXT(E141,"mm.dd")),"",SUM($M$8:M140)-SUM($O$8:O139)))</f>
        <v/>
      </c>
    </row>
    <row r="141" spans="2:15" s="6" customFormat="1" ht="13.5" customHeight="1" x14ac:dyDescent="0.25">
      <c r="B141" s="6" t="s">
        <v>15</v>
      </c>
      <c r="C141" s="87" t="str">
        <f t="shared" si="10"/>
        <v/>
      </c>
      <c r="D141" s="2" t="str" cm="1">
        <f t="array" ref="D141">_xll.RssMarket(C141, "銘柄名称")</f>
        <v/>
      </c>
      <c r="E141" s="2" t="str" cm="1">
        <f t="array" ref="E141">_xll.RssMarket(C141, "現在日付")</f>
        <v/>
      </c>
      <c r="F141" s="10" t="str">
        <f t="shared" ca="1" si="11"/>
        <v/>
      </c>
      <c r="G141" s="3"/>
      <c r="H141" s="4"/>
      <c r="I141" s="4"/>
      <c r="J141" s="5">
        <f t="shared" si="12"/>
        <v>0</v>
      </c>
      <c r="K141" s="4"/>
      <c r="L141" s="5">
        <f t="shared" si="13"/>
        <v>0</v>
      </c>
      <c r="M141" s="25" t="str">
        <f t="shared" si="14"/>
        <v>\0</v>
      </c>
      <c r="N141" s="23" t="str">
        <f t="shared" si="15"/>
        <v>データなし</v>
      </c>
      <c r="O141" s="24" t="str">
        <f>IF(MID(E141,3,1)=".",
   IF(OR(LEFT(E141,5)=LEFT(E142,5),LEFT(E141,5)=TEXT(E142,"mm.dd")),"",SUM($M$8:M141)-SUM($O$8:O140)),
   IF(OR(TEXT(E141,"mm.dd")=LEFT(E142,5),TEXT(E141,"mm.dd")=TEXT(E142,"mm.dd")),"",SUM($M$8:M141)-SUM($O$8:O140)))</f>
        <v/>
      </c>
    </row>
    <row r="142" spans="2:15" s="6" customFormat="1" ht="13.5" customHeight="1" x14ac:dyDescent="0.25">
      <c r="B142" s="6" t="s">
        <v>15</v>
      </c>
      <c r="C142" s="87" t="str">
        <f t="shared" si="10"/>
        <v/>
      </c>
      <c r="D142" s="2" t="str" cm="1">
        <f t="array" ref="D142">_xll.RssMarket(C142, "銘柄名称")</f>
        <v/>
      </c>
      <c r="E142" s="2" t="str" cm="1">
        <f t="array" ref="E142">_xll.RssMarket(C142, "現在日付")</f>
        <v/>
      </c>
      <c r="F142" s="10" t="str">
        <f t="shared" ca="1" si="11"/>
        <v/>
      </c>
      <c r="G142" s="3"/>
      <c r="H142" s="4"/>
      <c r="I142" s="4"/>
      <c r="J142" s="5">
        <f t="shared" si="12"/>
        <v>0</v>
      </c>
      <c r="K142" s="4"/>
      <c r="L142" s="5">
        <f t="shared" si="13"/>
        <v>0</v>
      </c>
      <c r="M142" s="25" t="str">
        <f t="shared" si="14"/>
        <v>\0</v>
      </c>
      <c r="N142" s="23" t="str">
        <f t="shared" si="15"/>
        <v>データなし</v>
      </c>
      <c r="O142" s="24" t="str">
        <f>IF(MID(E142,3,1)=".",
   IF(OR(LEFT(E142,5)=LEFT(E143,5),LEFT(E142,5)=TEXT(E143,"mm.dd")),"",SUM($M$8:M142)-SUM($O$8:O141)),
   IF(OR(TEXT(E142,"mm.dd")=LEFT(E143,5),TEXT(E142,"mm.dd")=TEXT(E143,"mm.dd")),"",SUM($M$8:M142)-SUM($O$8:O141)))</f>
        <v/>
      </c>
    </row>
    <row r="143" spans="2:15" s="6" customFormat="1" ht="13.5" customHeight="1" x14ac:dyDescent="0.25">
      <c r="B143" s="6" t="s">
        <v>15</v>
      </c>
      <c r="C143" s="87" t="str">
        <f t="shared" si="10"/>
        <v/>
      </c>
      <c r="D143" s="2" t="str" cm="1">
        <f t="array" ref="D143">_xll.RssMarket(C143, "銘柄名称")</f>
        <v/>
      </c>
      <c r="E143" s="2" t="str" cm="1">
        <f t="array" ref="E143">_xll.RssMarket(C143, "現在日付")</f>
        <v/>
      </c>
      <c r="F143" s="10" t="str">
        <f t="shared" ca="1" si="11"/>
        <v/>
      </c>
      <c r="G143" s="3"/>
      <c r="H143" s="4"/>
      <c r="I143" s="4"/>
      <c r="J143" s="5">
        <f t="shared" si="12"/>
        <v>0</v>
      </c>
      <c r="K143" s="4"/>
      <c r="L143" s="5">
        <f t="shared" si="13"/>
        <v>0</v>
      </c>
      <c r="M143" s="25" t="str">
        <f t="shared" si="14"/>
        <v>\0</v>
      </c>
      <c r="N143" s="23" t="str">
        <f t="shared" si="15"/>
        <v>データなし</v>
      </c>
      <c r="O143" s="24" t="str">
        <f>IF(MID(E143,3,1)=".",
   IF(OR(LEFT(E143,5)=LEFT(E144,5),LEFT(E143,5)=TEXT(E144,"mm.dd")),"",SUM($M$8:M143)-SUM($O$8:O142)),
   IF(OR(TEXT(E143,"mm.dd")=LEFT(E144,5),TEXT(E143,"mm.dd")=TEXT(E144,"mm.dd")),"",SUM($M$8:M143)-SUM($O$8:O142)))</f>
        <v/>
      </c>
    </row>
    <row r="144" spans="2:15" s="6" customFormat="1" ht="13.5" customHeight="1" x14ac:dyDescent="0.25">
      <c r="B144" s="6" t="s">
        <v>15</v>
      </c>
      <c r="C144" s="87" t="str">
        <f t="shared" si="10"/>
        <v/>
      </c>
      <c r="D144" s="2" t="str" cm="1">
        <f t="array" ref="D144">_xll.RssMarket(C144, "銘柄名称")</f>
        <v/>
      </c>
      <c r="E144" s="2" t="str" cm="1">
        <f t="array" ref="E144">_xll.RssMarket(C144, "現在日付")</f>
        <v/>
      </c>
      <c r="F144" s="10" t="str">
        <f t="shared" ca="1" si="11"/>
        <v/>
      </c>
      <c r="G144" s="3"/>
      <c r="H144" s="4"/>
      <c r="I144" s="4"/>
      <c r="J144" s="5">
        <f t="shared" si="12"/>
        <v>0</v>
      </c>
      <c r="K144" s="4"/>
      <c r="L144" s="5">
        <f t="shared" si="13"/>
        <v>0</v>
      </c>
      <c r="M144" s="25" t="str">
        <f t="shared" si="14"/>
        <v>\0</v>
      </c>
      <c r="N144" s="23" t="str">
        <f t="shared" si="15"/>
        <v>データなし</v>
      </c>
      <c r="O144" s="24" t="str">
        <f>IF(MID(E144,3,1)=".",
   IF(OR(LEFT(E144,5)=LEFT(E145,5),LEFT(E144,5)=TEXT(E145,"mm.dd")),"",SUM($M$8:M144)-SUM($O$8:O143)),
   IF(OR(TEXT(E144,"mm.dd")=LEFT(E145,5),TEXT(E144,"mm.dd")=TEXT(E145,"mm.dd")),"",SUM($M$8:M144)-SUM($O$8:O143)))</f>
        <v/>
      </c>
    </row>
    <row r="145" spans="2:15" s="6" customFormat="1" ht="13.5" customHeight="1" x14ac:dyDescent="0.25">
      <c r="B145" s="6" t="s">
        <v>15</v>
      </c>
      <c r="C145" s="87" t="str">
        <f t="shared" si="10"/>
        <v/>
      </c>
      <c r="D145" s="2" t="str" cm="1">
        <f t="array" ref="D145">_xll.RssMarket(C145, "銘柄名称")</f>
        <v/>
      </c>
      <c r="E145" s="2" t="str" cm="1">
        <f t="array" ref="E145">_xll.RssMarket(C145, "現在日付")</f>
        <v/>
      </c>
      <c r="F145" s="10" t="str">
        <f t="shared" ca="1" si="11"/>
        <v/>
      </c>
      <c r="G145" s="3"/>
      <c r="H145" s="4"/>
      <c r="I145" s="4"/>
      <c r="J145" s="5">
        <f t="shared" si="12"/>
        <v>0</v>
      </c>
      <c r="K145" s="4"/>
      <c r="L145" s="5">
        <f t="shared" si="13"/>
        <v>0</v>
      </c>
      <c r="M145" s="25" t="str">
        <f t="shared" si="14"/>
        <v>\0</v>
      </c>
      <c r="N145" s="23" t="str">
        <f t="shared" si="15"/>
        <v>データなし</v>
      </c>
      <c r="O145" s="24" t="str">
        <f>IF(MID(E145,3,1)=".",
   IF(OR(LEFT(E145,5)=LEFT(E146,5),LEFT(E145,5)=TEXT(E146,"mm.dd")),"",SUM($M$8:M145)-SUM($O$8:O144)),
   IF(OR(TEXT(E145,"mm.dd")=LEFT(E146,5),TEXT(E145,"mm.dd")=TEXT(E146,"mm.dd")),"",SUM($M$8:M145)-SUM($O$8:O144)))</f>
        <v/>
      </c>
    </row>
    <row r="146" spans="2:15" s="6" customFormat="1" ht="13.5" customHeight="1" x14ac:dyDescent="0.25">
      <c r="B146" s="6" t="s">
        <v>15</v>
      </c>
      <c r="C146" s="87" t="str">
        <f t="shared" si="10"/>
        <v/>
      </c>
      <c r="D146" s="2" t="str" cm="1">
        <f t="array" ref="D146">_xll.RssMarket(C146, "銘柄名称")</f>
        <v/>
      </c>
      <c r="E146" s="2" t="str" cm="1">
        <f t="array" ref="E146">_xll.RssMarket(C146, "現在日付")</f>
        <v/>
      </c>
      <c r="F146" s="10" t="str">
        <f t="shared" ca="1" si="11"/>
        <v/>
      </c>
      <c r="G146" s="3"/>
      <c r="H146" s="4"/>
      <c r="I146" s="4"/>
      <c r="J146" s="5">
        <f t="shared" si="12"/>
        <v>0</v>
      </c>
      <c r="K146" s="4"/>
      <c r="L146" s="5">
        <f t="shared" si="13"/>
        <v>0</v>
      </c>
      <c r="M146" s="25" t="str">
        <f t="shared" si="14"/>
        <v>\0</v>
      </c>
      <c r="N146" s="23" t="str">
        <f t="shared" si="15"/>
        <v>データなし</v>
      </c>
      <c r="O146" s="24" t="str">
        <f>IF(MID(E146,3,1)=".",
   IF(OR(LEFT(E146,5)=LEFT(E147,5),LEFT(E146,5)=TEXT(E147,"mm.dd")),"",SUM($M$8:M146)-SUM($O$8:O145)),
   IF(OR(TEXT(E146,"mm.dd")=LEFT(E147,5),TEXT(E146,"mm.dd")=TEXT(E147,"mm.dd")),"",SUM($M$8:M146)-SUM($O$8:O145)))</f>
        <v/>
      </c>
    </row>
    <row r="147" spans="2:15" s="6" customFormat="1" ht="13.5" customHeight="1" x14ac:dyDescent="0.25">
      <c r="B147" s="6" t="s">
        <v>15</v>
      </c>
      <c r="C147" s="87" t="str">
        <f t="shared" si="10"/>
        <v/>
      </c>
      <c r="D147" s="2" t="str" cm="1">
        <f t="array" ref="D147">_xll.RssMarket(C147, "銘柄名称")</f>
        <v/>
      </c>
      <c r="E147" s="2" t="str" cm="1">
        <f t="array" ref="E147">_xll.RssMarket(C147, "現在日付")</f>
        <v/>
      </c>
      <c r="F147" s="10" t="str">
        <f t="shared" ca="1" si="11"/>
        <v/>
      </c>
      <c r="G147" s="3"/>
      <c r="H147" s="4"/>
      <c r="I147" s="4"/>
      <c r="J147" s="5">
        <f t="shared" si="12"/>
        <v>0</v>
      </c>
      <c r="K147" s="4"/>
      <c r="L147" s="5">
        <f t="shared" si="13"/>
        <v>0</v>
      </c>
      <c r="M147" s="25" t="str">
        <f t="shared" si="14"/>
        <v>\0</v>
      </c>
      <c r="N147" s="23" t="str">
        <f t="shared" si="15"/>
        <v>データなし</v>
      </c>
      <c r="O147" s="24" t="str">
        <f>IF(MID(E147,3,1)=".",
   IF(OR(LEFT(E147,5)=LEFT(E148,5),LEFT(E147,5)=TEXT(E148,"mm.dd")),"",SUM($M$8:M147)-SUM($O$8:O146)),
   IF(OR(TEXT(E147,"mm.dd")=LEFT(E148,5),TEXT(E147,"mm.dd")=TEXT(E148,"mm.dd")),"",SUM($M$8:M147)-SUM($O$8:O146)))</f>
        <v/>
      </c>
    </row>
    <row r="148" spans="2:15" s="6" customFormat="1" ht="13.5" customHeight="1" x14ac:dyDescent="0.25">
      <c r="B148" s="6" t="s">
        <v>15</v>
      </c>
      <c r="C148" s="87" t="str">
        <f t="shared" si="10"/>
        <v/>
      </c>
      <c r="D148" s="2" t="str" cm="1">
        <f t="array" ref="D148">_xll.RssMarket(C148, "銘柄名称")</f>
        <v/>
      </c>
      <c r="E148" s="2" t="str" cm="1">
        <f t="array" ref="E148">_xll.RssMarket(C148, "現在日付")</f>
        <v/>
      </c>
      <c r="F148" s="10" t="str">
        <f t="shared" ca="1" si="11"/>
        <v/>
      </c>
      <c r="G148" s="3"/>
      <c r="H148" s="4"/>
      <c r="I148" s="4"/>
      <c r="J148" s="5">
        <f t="shared" si="12"/>
        <v>0</v>
      </c>
      <c r="K148" s="4"/>
      <c r="L148" s="5">
        <f t="shared" si="13"/>
        <v>0</v>
      </c>
      <c r="M148" s="25" t="str">
        <f t="shared" si="14"/>
        <v>\0</v>
      </c>
      <c r="N148" s="23" t="str">
        <f t="shared" si="15"/>
        <v>データなし</v>
      </c>
      <c r="O148" s="24" t="str">
        <f>IF(MID(E148,3,1)=".",
   IF(OR(LEFT(E148,5)=LEFT(E149,5),LEFT(E148,5)=TEXT(E149,"mm.dd")),"",SUM($M$8:M148)-SUM($O$8:O147)),
   IF(OR(TEXT(E148,"mm.dd")=LEFT(E149,5),TEXT(E148,"mm.dd")=TEXT(E149,"mm.dd")),"",SUM($M$8:M148)-SUM($O$8:O147)))</f>
        <v/>
      </c>
    </row>
    <row r="149" spans="2:15" s="6" customFormat="1" ht="13.5" customHeight="1" x14ac:dyDescent="0.25">
      <c r="B149" s="6" t="s">
        <v>15</v>
      </c>
      <c r="C149" s="87" t="str">
        <f t="shared" si="10"/>
        <v/>
      </c>
      <c r="D149" s="2" t="str" cm="1">
        <f t="array" ref="D149">_xll.RssMarket(C149, "銘柄名称")</f>
        <v/>
      </c>
      <c r="E149" s="2" t="str" cm="1">
        <f t="array" ref="E149">_xll.RssMarket(C149, "現在日付")</f>
        <v/>
      </c>
      <c r="F149" s="10" t="str">
        <f t="shared" ca="1" si="11"/>
        <v/>
      </c>
      <c r="G149" s="3"/>
      <c r="H149" s="4"/>
      <c r="I149" s="4"/>
      <c r="J149" s="5">
        <f t="shared" si="12"/>
        <v>0</v>
      </c>
      <c r="K149" s="4"/>
      <c r="L149" s="5">
        <f t="shared" si="13"/>
        <v>0</v>
      </c>
      <c r="M149" s="25" t="str">
        <f t="shared" si="14"/>
        <v>\0</v>
      </c>
      <c r="N149" s="23" t="str">
        <f t="shared" si="15"/>
        <v>データなし</v>
      </c>
      <c r="O149" s="24" t="str">
        <f>IF(MID(E149,3,1)=".",
   IF(OR(LEFT(E149,5)=LEFT(E150,5),LEFT(E149,5)=TEXT(E150,"mm.dd")),"",SUM($M$8:M149)-SUM($O$8:O148)),
   IF(OR(TEXT(E149,"mm.dd")=LEFT(E150,5),TEXT(E149,"mm.dd")=TEXT(E150,"mm.dd")),"",SUM($M$8:M149)-SUM($O$8:O148)))</f>
        <v/>
      </c>
    </row>
    <row r="150" spans="2:15" s="6" customFormat="1" ht="13.5" customHeight="1" x14ac:dyDescent="0.25">
      <c r="B150" s="6" t="s">
        <v>15</v>
      </c>
      <c r="C150" s="87" t="str">
        <f t="shared" si="10"/>
        <v/>
      </c>
      <c r="D150" s="2" t="str" cm="1">
        <f t="array" ref="D150">_xll.RssMarket(C150, "銘柄名称")</f>
        <v/>
      </c>
      <c r="E150" s="2" t="str" cm="1">
        <f t="array" ref="E150">_xll.RssMarket(C150, "現在日付")</f>
        <v/>
      </c>
      <c r="F150" s="10" t="str">
        <f t="shared" ca="1" si="11"/>
        <v/>
      </c>
      <c r="G150" s="3"/>
      <c r="H150" s="4"/>
      <c r="I150" s="4"/>
      <c r="J150" s="5">
        <f t="shared" si="12"/>
        <v>0</v>
      </c>
      <c r="K150" s="4"/>
      <c r="L150" s="5">
        <f t="shared" si="13"/>
        <v>0</v>
      </c>
      <c r="M150" s="25" t="str">
        <f t="shared" si="14"/>
        <v>\0</v>
      </c>
      <c r="N150" s="23" t="str">
        <f t="shared" si="15"/>
        <v>データなし</v>
      </c>
      <c r="O150" s="24" t="str">
        <f>IF(MID(E150,3,1)=".",
   IF(OR(LEFT(E150,5)=LEFT(E151,5),LEFT(E150,5)=TEXT(E151,"mm.dd")),"",SUM($M$8:M150)-SUM($O$8:O149)),
   IF(OR(TEXT(E150,"mm.dd")=LEFT(E151,5),TEXT(E150,"mm.dd")=TEXT(E151,"mm.dd")),"",SUM($M$8:M150)-SUM($O$8:O149)))</f>
        <v/>
      </c>
    </row>
    <row r="151" spans="2:15" s="6" customFormat="1" ht="13.5" customHeight="1" x14ac:dyDescent="0.25">
      <c r="B151" s="6" t="s">
        <v>15</v>
      </c>
      <c r="C151" s="87" t="str">
        <f t="shared" si="10"/>
        <v/>
      </c>
      <c r="D151" s="2" t="str" cm="1">
        <f t="array" ref="D151">_xll.RssMarket(C151, "銘柄名称")</f>
        <v/>
      </c>
      <c r="E151" s="2" t="str" cm="1">
        <f t="array" ref="E151">_xll.RssMarket(C151, "現在日付")</f>
        <v/>
      </c>
      <c r="F151" s="10" t="str">
        <f t="shared" ca="1" si="11"/>
        <v/>
      </c>
      <c r="G151" s="3"/>
      <c r="H151" s="4"/>
      <c r="I151" s="4"/>
      <c r="J151" s="5">
        <f t="shared" si="12"/>
        <v>0</v>
      </c>
      <c r="K151" s="4"/>
      <c r="L151" s="5">
        <f t="shared" si="13"/>
        <v>0</v>
      </c>
      <c r="M151" s="25" t="str">
        <f t="shared" si="14"/>
        <v>\0</v>
      </c>
      <c r="N151" s="23" t="str">
        <f t="shared" si="15"/>
        <v>データなし</v>
      </c>
      <c r="O151" s="24" t="str">
        <f>IF(MID(E151,3,1)=".",
   IF(OR(LEFT(E151,5)=LEFT(E152,5),LEFT(E151,5)=TEXT(E152,"mm.dd")),"",SUM($M$8:M151)-SUM($O$8:O150)),
   IF(OR(TEXT(E151,"mm.dd")=LEFT(E152,5),TEXT(E151,"mm.dd")=TEXT(E152,"mm.dd")),"",SUM($M$8:M151)-SUM($O$8:O150)))</f>
        <v/>
      </c>
    </row>
    <row r="152" spans="2:15" s="6" customFormat="1" ht="13.5" customHeight="1" x14ac:dyDescent="0.25">
      <c r="B152" s="6" t="s">
        <v>15</v>
      </c>
      <c r="C152" s="87" t="str">
        <f t="shared" si="10"/>
        <v/>
      </c>
      <c r="D152" s="2" t="str" cm="1">
        <f t="array" ref="D152">_xll.RssMarket(C152, "銘柄名称")</f>
        <v/>
      </c>
      <c r="E152" s="2" t="str" cm="1">
        <f t="array" ref="E152">_xll.RssMarket(C152, "現在日付")</f>
        <v/>
      </c>
      <c r="F152" s="10" t="str">
        <f t="shared" ca="1" si="11"/>
        <v/>
      </c>
      <c r="G152" s="3"/>
      <c r="H152" s="4"/>
      <c r="I152" s="4"/>
      <c r="J152" s="5">
        <f t="shared" si="12"/>
        <v>0</v>
      </c>
      <c r="K152" s="4"/>
      <c r="L152" s="5">
        <f t="shared" si="13"/>
        <v>0</v>
      </c>
      <c r="M152" s="25" t="str">
        <f t="shared" si="14"/>
        <v>\0</v>
      </c>
      <c r="N152" s="23" t="str">
        <f t="shared" si="15"/>
        <v>データなし</v>
      </c>
      <c r="O152" s="24" t="str">
        <f>IF(MID(E152,3,1)=".",
   IF(OR(LEFT(E152,5)=LEFT(E153,5),LEFT(E152,5)=TEXT(E153,"mm.dd")),"",SUM($M$8:M152)-SUM($O$8:O151)),
   IF(OR(TEXT(E152,"mm.dd")=LEFT(E153,5),TEXT(E152,"mm.dd")=TEXT(E153,"mm.dd")),"",SUM($M$8:M152)-SUM($O$8:O151)))</f>
        <v/>
      </c>
    </row>
    <row r="153" spans="2:15" s="6" customFormat="1" ht="13.5" customHeight="1" x14ac:dyDescent="0.25">
      <c r="B153" s="6" t="s">
        <v>15</v>
      </c>
      <c r="C153" s="87" t="str">
        <f t="shared" si="10"/>
        <v/>
      </c>
      <c r="D153" s="2" t="str" cm="1">
        <f t="array" ref="D153">_xll.RssMarket(C153, "銘柄名称")</f>
        <v/>
      </c>
      <c r="E153" s="2" t="str" cm="1">
        <f t="array" ref="E153">_xll.RssMarket(C153, "現在日付")</f>
        <v/>
      </c>
      <c r="F153" s="10" t="str">
        <f t="shared" ca="1" si="11"/>
        <v/>
      </c>
      <c r="G153" s="3"/>
      <c r="H153" s="4"/>
      <c r="I153" s="4"/>
      <c r="J153" s="5">
        <f t="shared" si="12"/>
        <v>0</v>
      </c>
      <c r="K153" s="4"/>
      <c r="L153" s="5">
        <f t="shared" si="13"/>
        <v>0</v>
      </c>
      <c r="M153" s="25" t="str">
        <f t="shared" si="14"/>
        <v>\0</v>
      </c>
      <c r="N153" s="23" t="str">
        <f t="shared" si="15"/>
        <v>データなし</v>
      </c>
      <c r="O153" s="24" t="str">
        <f>IF(MID(E153,3,1)=".",
   IF(OR(LEFT(E153,5)=LEFT(E154,5),LEFT(E153,5)=TEXT(E154,"mm.dd")),"",SUM($M$8:M153)-SUM($O$8:O152)),
   IF(OR(TEXT(E153,"mm.dd")=LEFT(E154,5),TEXT(E153,"mm.dd")=TEXT(E154,"mm.dd")),"",SUM($M$8:M153)-SUM($O$8:O152)))</f>
        <v/>
      </c>
    </row>
    <row r="154" spans="2:15" s="6" customFormat="1" ht="13.5" customHeight="1" x14ac:dyDescent="0.25">
      <c r="B154" s="6" t="s">
        <v>15</v>
      </c>
      <c r="C154" s="87" t="str">
        <f t="shared" si="10"/>
        <v/>
      </c>
      <c r="D154" s="2" t="str" cm="1">
        <f t="array" ref="D154">_xll.RssMarket(C154, "銘柄名称")</f>
        <v/>
      </c>
      <c r="E154" s="2" t="str" cm="1">
        <f t="array" ref="E154">_xll.RssMarket(C154, "現在日付")</f>
        <v/>
      </c>
      <c r="F154" s="10" t="str">
        <f t="shared" ca="1" si="11"/>
        <v/>
      </c>
      <c r="G154" s="3"/>
      <c r="H154" s="4"/>
      <c r="I154" s="4"/>
      <c r="J154" s="5">
        <f t="shared" si="12"/>
        <v>0</v>
      </c>
      <c r="K154" s="4"/>
      <c r="L154" s="5">
        <f t="shared" si="13"/>
        <v>0</v>
      </c>
      <c r="M154" s="25" t="str">
        <f t="shared" si="14"/>
        <v>\0</v>
      </c>
      <c r="N154" s="23" t="str">
        <f t="shared" si="15"/>
        <v>データなし</v>
      </c>
      <c r="O154" s="24" t="str">
        <f>IF(MID(E154,3,1)=".",
   IF(OR(LEFT(E154,5)=LEFT(E155,5),LEFT(E154,5)=TEXT(E155,"mm.dd")),"",SUM($M$8:M154)-SUM($O$8:O153)),
   IF(OR(TEXT(E154,"mm.dd")=LEFT(E155,5),TEXT(E154,"mm.dd")=TEXT(E155,"mm.dd")),"",SUM($M$8:M154)-SUM($O$8:O153)))</f>
        <v/>
      </c>
    </row>
    <row r="155" spans="2:15" s="6" customFormat="1" ht="13.5" customHeight="1" x14ac:dyDescent="0.25">
      <c r="B155" s="6" t="s">
        <v>15</v>
      </c>
      <c r="C155" s="87" t="str">
        <f t="shared" si="10"/>
        <v/>
      </c>
      <c r="D155" s="2" t="str" cm="1">
        <f t="array" ref="D155">_xll.RssMarket(C155, "銘柄名称")</f>
        <v/>
      </c>
      <c r="E155" s="2" t="str" cm="1">
        <f t="array" ref="E155">_xll.RssMarket(C155, "現在日付")</f>
        <v/>
      </c>
      <c r="F155" s="10" t="str">
        <f t="shared" ca="1" si="11"/>
        <v/>
      </c>
      <c r="G155" s="3"/>
      <c r="H155" s="4"/>
      <c r="I155" s="4"/>
      <c r="J155" s="5">
        <f t="shared" si="12"/>
        <v>0</v>
      </c>
      <c r="K155" s="4"/>
      <c r="L155" s="5">
        <f t="shared" si="13"/>
        <v>0</v>
      </c>
      <c r="M155" s="25" t="str">
        <f t="shared" si="14"/>
        <v>\0</v>
      </c>
      <c r="N155" s="23" t="str">
        <f t="shared" si="15"/>
        <v>データなし</v>
      </c>
      <c r="O155" s="24" t="str">
        <f>IF(MID(E155,3,1)=".",
   IF(OR(LEFT(E155,5)=LEFT(E156,5),LEFT(E155,5)=TEXT(E156,"mm.dd")),"",SUM($M$8:M155)-SUM($O$8:O154)),
   IF(OR(TEXT(E155,"mm.dd")=LEFT(E156,5),TEXT(E155,"mm.dd")=TEXT(E156,"mm.dd")),"",SUM($M$8:M155)-SUM($O$8:O154)))</f>
        <v/>
      </c>
    </row>
    <row r="156" spans="2:15" s="6" customFormat="1" ht="13.5" customHeight="1" x14ac:dyDescent="0.25">
      <c r="B156" s="6" t="s">
        <v>15</v>
      </c>
      <c r="C156" s="87" t="str">
        <f t="shared" si="10"/>
        <v/>
      </c>
      <c r="D156" s="2" t="str" cm="1">
        <f t="array" ref="D156">_xll.RssMarket(C156, "銘柄名称")</f>
        <v/>
      </c>
      <c r="E156" s="2" t="str" cm="1">
        <f t="array" ref="E156">_xll.RssMarket(C156, "現在日付")</f>
        <v/>
      </c>
      <c r="F156" s="10" t="str">
        <f t="shared" ca="1" si="11"/>
        <v/>
      </c>
      <c r="G156" s="3"/>
      <c r="H156" s="4"/>
      <c r="I156" s="4"/>
      <c r="J156" s="5">
        <f t="shared" si="12"/>
        <v>0</v>
      </c>
      <c r="K156" s="4"/>
      <c r="L156" s="5">
        <f t="shared" si="13"/>
        <v>0</v>
      </c>
      <c r="M156" s="25" t="str">
        <f t="shared" si="14"/>
        <v>\0</v>
      </c>
      <c r="N156" s="23" t="str">
        <f t="shared" si="15"/>
        <v>データなし</v>
      </c>
      <c r="O156" s="24" t="str">
        <f>IF(MID(E156,3,1)=".",
   IF(OR(LEFT(E156,5)=LEFT(E157,5),LEFT(E156,5)=TEXT(E157,"mm.dd")),"",SUM($M$8:M156)-SUM($O$8:O155)),
   IF(OR(TEXT(E156,"mm.dd")=LEFT(E157,5),TEXT(E156,"mm.dd")=TEXT(E157,"mm.dd")),"",SUM($M$8:M156)-SUM($O$8:O155)))</f>
        <v/>
      </c>
    </row>
    <row r="157" spans="2:15" s="6" customFormat="1" ht="13.5" customHeight="1" x14ac:dyDescent="0.25">
      <c r="B157" s="6" t="s">
        <v>15</v>
      </c>
      <c r="C157" s="87" t="str">
        <f t="shared" si="10"/>
        <v/>
      </c>
      <c r="D157" s="2" t="str" cm="1">
        <f t="array" ref="D157">_xll.RssMarket(C157, "銘柄名称")</f>
        <v/>
      </c>
      <c r="E157" s="2" t="str" cm="1">
        <f t="array" ref="E157">_xll.RssMarket(C157, "現在日付")</f>
        <v/>
      </c>
      <c r="F157" s="10" t="str">
        <f t="shared" ca="1" si="11"/>
        <v/>
      </c>
      <c r="G157" s="3"/>
      <c r="H157" s="4"/>
      <c r="I157" s="4"/>
      <c r="J157" s="5">
        <f t="shared" si="12"/>
        <v>0</v>
      </c>
      <c r="K157" s="4"/>
      <c r="L157" s="5">
        <f t="shared" si="13"/>
        <v>0</v>
      </c>
      <c r="M157" s="25" t="str">
        <f t="shared" si="14"/>
        <v>\0</v>
      </c>
      <c r="N157" s="23" t="str">
        <f t="shared" si="15"/>
        <v>データなし</v>
      </c>
      <c r="O157" s="24" t="str">
        <f>IF(MID(E157,3,1)=".",
   IF(OR(LEFT(E157,5)=LEFT(E158,5),LEFT(E157,5)=TEXT(E158,"mm.dd")),"",SUM($M$8:M157)-SUM($O$8:O156)),
   IF(OR(TEXT(E157,"mm.dd")=LEFT(E158,5),TEXT(E157,"mm.dd")=TEXT(E158,"mm.dd")),"",SUM($M$8:M157)-SUM($O$8:O156)))</f>
        <v/>
      </c>
    </row>
    <row r="158" spans="2:15" s="6" customFormat="1" ht="13.5" customHeight="1" x14ac:dyDescent="0.25">
      <c r="B158" s="6" t="s">
        <v>15</v>
      </c>
      <c r="C158" s="87" t="str">
        <f t="shared" si="10"/>
        <v/>
      </c>
      <c r="D158" s="2" t="str" cm="1">
        <f t="array" ref="D158">_xll.RssMarket(C158, "銘柄名称")</f>
        <v/>
      </c>
      <c r="E158" s="2" t="str" cm="1">
        <f t="array" ref="E158">_xll.RssMarket(C158, "現在日付")</f>
        <v/>
      </c>
      <c r="F158" s="10" t="str">
        <f t="shared" ca="1" si="11"/>
        <v/>
      </c>
      <c r="G158" s="3"/>
      <c r="H158" s="4"/>
      <c r="I158" s="4"/>
      <c r="J158" s="5">
        <f t="shared" si="12"/>
        <v>0</v>
      </c>
      <c r="K158" s="4"/>
      <c r="L158" s="5">
        <f t="shared" si="13"/>
        <v>0</v>
      </c>
      <c r="M158" s="25" t="str">
        <f t="shared" si="14"/>
        <v>\0</v>
      </c>
      <c r="N158" s="23" t="str">
        <f t="shared" si="15"/>
        <v>データなし</v>
      </c>
      <c r="O158" s="24" t="str">
        <f>IF(MID(E158,3,1)=".",
   IF(OR(LEFT(E158,5)=LEFT(E159,5),LEFT(E158,5)=TEXT(E159,"mm.dd")),"",SUM($M$8:M158)-SUM($O$8:O157)),
   IF(OR(TEXT(E158,"mm.dd")=LEFT(E159,5),TEXT(E158,"mm.dd")=TEXT(E159,"mm.dd")),"",SUM($M$8:M158)-SUM($O$8:O157)))</f>
        <v/>
      </c>
    </row>
    <row r="159" spans="2:15" s="6" customFormat="1" ht="13.5" customHeight="1" x14ac:dyDescent="0.25">
      <c r="B159" s="6" t="s">
        <v>15</v>
      </c>
      <c r="C159" s="87" t="str">
        <f t="shared" si="10"/>
        <v/>
      </c>
      <c r="D159" s="2" t="str" cm="1">
        <f t="array" ref="D159">_xll.RssMarket(C159, "銘柄名称")</f>
        <v/>
      </c>
      <c r="E159" s="2" t="str" cm="1">
        <f t="array" ref="E159">_xll.RssMarket(C159, "現在日付")</f>
        <v/>
      </c>
      <c r="F159" s="10" t="str">
        <f t="shared" ca="1" si="11"/>
        <v/>
      </c>
      <c r="G159" s="3"/>
      <c r="H159" s="4"/>
      <c r="I159" s="4"/>
      <c r="J159" s="5">
        <f t="shared" si="12"/>
        <v>0</v>
      </c>
      <c r="K159" s="4"/>
      <c r="L159" s="5">
        <f t="shared" si="13"/>
        <v>0</v>
      </c>
      <c r="M159" s="25" t="str">
        <f t="shared" si="14"/>
        <v>\0</v>
      </c>
      <c r="N159" s="23" t="str">
        <f t="shared" si="15"/>
        <v>データなし</v>
      </c>
      <c r="O159" s="24" t="str">
        <f>IF(MID(E159,3,1)=".",
   IF(OR(LEFT(E159,5)=LEFT(E160,5),LEFT(E159,5)=TEXT(E160,"mm.dd")),"",SUM($M$8:M159)-SUM($O$8:O158)),
   IF(OR(TEXT(E159,"mm.dd")=LEFT(E160,5),TEXT(E159,"mm.dd")=TEXT(E160,"mm.dd")),"",SUM($M$8:M159)-SUM($O$8:O158)))</f>
        <v/>
      </c>
    </row>
    <row r="160" spans="2:15" s="6" customFormat="1" ht="13.5" customHeight="1" x14ac:dyDescent="0.25">
      <c r="B160" s="6" t="s">
        <v>15</v>
      </c>
      <c r="C160" s="87" t="str">
        <f t="shared" si="10"/>
        <v/>
      </c>
      <c r="D160" s="2" t="str" cm="1">
        <f t="array" ref="D160">_xll.RssMarket(C160, "銘柄名称")</f>
        <v/>
      </c>
      <c r="E160" s="2" t="str" cm="1">
        <f t="array" ref="E160">_xll.RssMarket(C160, "現在日付")</f>
        <v/>
      </c>
      <c r="F160" s="10" t="str">
        <f t="shared" ca="1" si="11"/>
        <v/>
      </c>
      <c r="G160" s="3"/>
      <c r="H160" s="4"/>
      <c r="I160" s="4"/>
      <c r="J160" s="5">
        <f t="shared" si="12"/>
        <v>0</v>
      </c>
      <c r="K160" s="4"/>
      <c r="L160" s="5">
        <f t="shared" si="13"/>
        <v>0</v>
      </c>
      <c r="M160" s="25" t="str">
        <f t="shared" si="14"/>
        <v>\0</v>
      </c>
      <c r="N160" s="23" t="str">
        <f t="shared" si="15"/>
        <v>データなし</v>
      </c>
      <c r="O160" s="24" t="str">
        <f>IF(MID(E160,3,1)=".",
   IF(OR(LEFT(E160,5)=LEFT(E161,5),LEFT(E160,5)=TEXT(E161,"mm.dd")),"",SUM($M$8:M160)-SUM($O$8:O159)),
   IF(OR(TEXT(E160,"mm.dd")=LEFT(E161,5),TEXT(E160,"mm.dd")=TEXT(E161,"mm.dd")),"",SUM($M$8:M160)-SUM($O$8:O159)))</f>
        <v/>
      </c>
    </row>
    <row r="161" spans="2:15" s="6" customFormat="1" ht="13.5" customHeight="1" x14ac:dyDescent="0.25">
      <c r="B161" s="6" t="s">
        <v>15</v>
      </c>
      <c r="C161" s="87" t="str">
        <f t="shared" si="10"/>
        <v/>
      </c>
      <c r="D161" s="2" t="str" cm="1">
        <f t="array" ref="D161">_xll.RssMarket(C161, "銘柄名称")</f>
        <v/>
      </c>
      <c r="E161" s="2" t="str" cm="1">
        <f t="array" ref="E161">_xll.RssMarket(C161, "現在日付")</f>
        <v/>
      </c>
      <c r="F161" s="10" t="str">
        <f t="shared" ca="1" si="11"/>
        <v/>
      </c>
      <c r="G161" s="3"/>
      <c r="H161" s="4"/>
      <c r="I161" s="4"/>
      <c r="J161" s="5">
        <f t="shared" si="12"/>
        <v>0</v>
      </c>
      <c r="K161" s="4"/>
      <c r="L161" s="5">
        <f t="shared" si="13"/>
        <v>0</v>
      </c>
      <c r="M161" s="25" t="str">
        <f t="shared" si="14"/>
        <v>\0</v>
      </c>
      <c r="N161" s="23" t="str">
        <f t="shared" si="15"/>
        <v>データなし</v>
      </c>
      <c r="O161" s="24" t="str">
        <f>IF(MID(E161,3,1)=".",
   IF(OR(LEFT(E161,5)=LEFT(E162,5),LEFT(E161,5)=TEXT(E162,"mm.dd")),"",SUM($M$8:M161)-SUM($O$8:O160)),
   IF(OR(TEXT(E161,"mm.dd")=LEFT(E162,5),TEXT(E161,"mm.dd")=TEXT(E162,"mm.dd")),"",SUM($M$8:M161)-SUM($O$8:O160)))</f>
        <v/>
      </c>
    </row>
    <row r="162" spans="2:15" s="6" customFormat="1" ht="13.5" customHeight="1" x14ac:dyDescent="0.25">
      <c r="B162" s="6" t="s">
        <v>15</v>
      </c>
      <c r="C162" s="87" t="str">
        <f t="shared" si="10"/>
        <v/>
      </c>
      <c r="D162" s="2" t="str" cm="1">
        <f t="array" ref="D162">_xll.RssMarket(C162, "銘柄名称")</f>
        <v/>
      </c>
      <c r="E162" s="2" t="str" cm="1">
        <f t="array" ref="E162">_xll.RssMarket(C162, "現在日付")</f>
        <v/>
      </c>
      <c r="F162" s="10" t="str">
        <f t="shared" ca="1" si="11"/>
        <v/>
      </c>
      <c r="G162" s="3"/>
      <c r="H162" s="4"/>
      <c r="I162" s="4"/>
      <c r="J162" s="5">
        <f t="shared" si="12"/>
        <v>0</v>
      </c>
      <c r="K162" s="4"/>
      <c r="L162" s="5">
        <f t="shared" si="13"/>
        <v>0</v>
      </c>
      <c r="M162" s="25" t="str">
        <f t="shared" si="14"/>
        <v>\0</v>
      </c>
      <c r="N162" s="23" t="str">
        <f t="shared" si="15"/>
        <v>データなし</v>
      </c>
      <c r="O162" s="24" t="str">
        <f>IF(MID(E162,3,1)=".",
   IF(OR(LEFT(E162,5)=LEFT(E163,5),LEFT(E162,5)=TEXT(E163,"mm.dd")),"",SUM($M$8:M162)-SUM($O$8:O161)),
   IF(OR(TEXT(E162,"mm.dd")=LEFT(E163,5),TEXT(E162,"mm.dd")=TEXT(E163,"mm.dd")),"",SUM($M$8:M162)-SUM($O$8:O161)))</f>
        <v/>
      </c>
    </row>
    <row r="163" spans="2:15" s="6" customFormat="1" ht="13.5" customHeight="1" x14ac:dyDescent="0.25">
      <c r="B163" s="6" t="s">
        <v>15</v>
      </c>
      <c r="C163" s="87" t="str">
        <f t="shared" si="10"/>
        <v/>
      </c>
      <c r="D163" s="2" t="str" cm="1">
        <f t="array" ref="D163">_xll.RssMarket(C163, "銘柄名称")</f>
        <v/>
      </c>
      <c r="E163" s="2" t="str" cm="1">
        <f t="array" ref="E163">_xll.RssMarket(C163, "現在日付")</f>
        <v/>
      </c>
      <c r="F163" s="10" t="str">
        <f t="shared" ca="1" si="11"/>
        <v/>
      </c>
      <c r="G163" s="3"/>
      <c r="H163" s="4"/>
      <c r="I163" s="4"/>
      <c r="J163" s="5">
        <f t="shared" si="12"/>
        <v>0</v>
      </c>
      <c r="K163" s="4"/>
      <c r="L163" s="5">
        <f t="shared" si="13"/>
        <v>0</v>
      </c>
      <c r="M163" s="25" t="str">
        <f t="shared" si="14"/>
        <v>\0</v>
      </c>
      <c r="N163" s="23" t="str">
        <f t="shared" si="15"/>
        <v>データなし</v>
      </c>
      <c r="O163" s="24" t="str">
        <f>IF(MID(E163,3,1)=".",
   IF(OR(LEFT(E163,5)=LEFT(E164,5),LEFT(E163,5)=TEXT(E164,"mm.dd")),"",SUM($M$8:M163)-SUM($O$8:O162)),
   IF(OR(TEXT(E163,"mm.dd")=LEFT(E164,5),TEXT(E163,"mm.dd")=TEXT(E164,"mm.dd")),"",SUM($M$8:M163)-SUM($O$8:O162)))</f>
        <v/>
      </c>
    </row>
    <row r="164" spans="2:15" s="6" customFormat="1" ht="13.5" customHeight="1" x14ac:dyDescent="0.25">
      <c r="B164" s="6" t="s">
        <v>15</v>
      </c>
      <c r="C164" s="87" t="str">
        <f t="shared" ref="C164:C227" si="16">IF(COUNTIF(A:A,A164)&gt;1,"重複!","")</f>
        <v/>
      </c>
      <c r="D164" s="2" t="str" cm="1">
        <f t="array" ref="D164">_xll.RssMarket(C164, "銘柄名称")</f>
        <v/>
      </c>
      <c r="E164" s="2" t="str" cm="1">
        <f t="array" ref="E164">_xll.RssMarket(C164, "現在日付")</f>
        <v/>
      </c>
      <c r="F164" s="10" t="str">
        <f t="shared" ref="F164:F227" ca="1" si="17">IF(K164="","",TODAY())</f>
        <v/>
      </c>
      <c r="G164" s="3"/>
      <c r="H164" s="4"/>
      <c r="I164" s="4"/>
      <c r="J164" s="5">
        <f t="shared" ref="J164:J227" si="18">(G164*H164)+I164</f>
        <v>0</v>
      </c>
      <c r="K164" s="4"/>
      <c r="L164" s="5">
        <f t="shared" ref="L164:L227" si="19">G164*K164</f>
        <v>0</v>
      </c>
      <c r="M164" s="25" t="str">
        <f t="shared" ref="M164:M227" si="20">IF(OR(H164="",K164=""),"\0",IF(B164="売",(J164-L164),(L164-J164)))</f>
        <v>\0</v>
      </c>
      <c r="N164" s="23" t="str">
        <f t="shared" ref="N164:N227" si="21">IF(ISERR(M164/J164),"データなし",(M164/J164))</f>
        <v>データなし</v>
      </c>
      <c r="O164" s="24" t="str">
        <f>IF(MID(E164,3,1)=".",
   IF(OR(LEFT(E164,5)=LEFT(E165,5),LEFT(E164,5)=TEXT(E165,"mm.dd")),"",SUM($M$8:M164)-SUM($O$8:O163)),
   IF(OR(TEXT(E164,"mm.dd")=LEFT(E165,5),TEXT(E164,"mm.dd")=TEXT(E165,"mm.dd")),"",SUM($M$8:M164)-SUM($O$8:O163)))</f>
        <v/>
      </c>
    </row>
    <row r="165" spans="2:15" s="6" customFormat="1" ht="13.5" customHeight="1" x14ac:dyDescent="0.25">
      <c r="B165" s="6" t="s">
        <v>15</v>
      </c>
      <c r="C165" s="87" t="str">
        <f t="shared" si="16"/>
        <v/>
      </c>
      <c r="D165" s="2" t="str" cm="1">
        <f t="array" ref="D165">_xll.RssMarket(C165, "銘柄名称")</f>
        <v/>
      </c>
      <c r="E165" s="2" t="str" cm="1">
        <f t="array" ref="E165">_xll.RssMarket(C165, "現在日付")</f>
        <v/>
      </c>
      <c r="F165" s="10" t="str">
        <f t="shared" ca="1" si="17"/>
        <v/>
      </c>
      <c r="G165" s="3"/>
      <c r="H165" s="4"/>
      <c r="I165" s="4"/>
      <c r="J165" s="5">
        <f t="shared" si="18"/>
        <v>0</v>
      </c>
      <c r="K165" s="4"/>
      <c r="L165" s="5">
        <f t="shared" si="19"/>
        <v>0</v>
      </c>
      <c r="M165" s="25" t="str">
        <f t="shared" si="20"/>
        <v>\0</v>
      </c>
      <c r="N165" s="23" t="str">
        <f t="shared" si="21"/>
        <v>データなし</v>
      </c>
      <c r="O165" s="24" t="str">
        <f>IF(MID(E165,3,1)=".",
   IF(OR(LEFT(E165,5)=LEFT(E166,5),LEFT(E165,5)=TEXT(E166,"mm.dd")),"",SUM($M$8:M165)-SUM($O$8:O164)),
   IF(OR(TEXT(E165,"mm.dd")=LEFT(E166,5),TEXT(E165,"mm.dd")=TEXT(E166,"mm.dd")),"",SUM($M$8:M165)-SUM($O$8:O164)))</f>
        <v/>
      </c>
    </row>
    <row r="166" spans="2:15" s="6" customFormat="1" ht="13.5" customHeight="1" x14ac:dyDescent="0.25">
      <c r="B166" s="6" t="s">
        <v>15</v>
      </c>
      <c r="C166" s="87" t="str">
        <f t="shared" si="16"/>
        <v/>
      </c>
      <c r="D166" s="2" t="str" cm="1">
        <f t="array" ref="D166">_xll.RssMarket(C166, "銘柄名称")</f>
        <v/>
      </c>
      <c r="E166" s="2" t="str" cm="1">
        <f t="array" ref="E166">_xll.RssMarket(C166, "現在日付")</f>
        <v/>
      </c>
      <c r="F166" s="10" t="str">
        <f t="shared" ca="1" si="17"/>
        <v/>
      </c>
      <c r="G166" s="3"/>
      <c r="H166" s="4"/>
      <c r="I166" s="4"/>
      <c r="J166" s="5">
        <f t="shared" si="18"/>
        <v>0</v>
      </c>
      <c r="K166" s="4"/>
      <c r="L166" s="5">
        <f t="shared" si="19"/>
        <v>0</v>
      </c>
      <c r="M166" s="25" t="str">
        <f t="shared" si="20"/>
        <v>\0</v>
      </c>
      <c r="N166" s="23" t="str">
        <f t="shared" si="21"/>
        <v>データなし</v>
      </c>
      <c r="O166" s="24" t="str">
        <f>IF(MID(E166,3,1)=".",
   IF(OR(LEFT(E166,5)=LEFT(E167,5),LEFT(E166,5)=TEXT(E167,"mm.dd")),"",SUM($M$8:M166)-SUM($O$8:O165)),
   IF(OR(TEXT(E166,"mm.dd")=LEFT(E167,5),TEXT(E166,"mm.dd")=TEXT(E167,"mm.dd")),"",SUM($M$8:M166)-SUM($O$8:O165)))</f>
        <v/>
      </c>
    </row>
    <row r="167" spans="2:15" s="6" customFormat="1" ht="13.5" customHeight="1" x14ac:dyDescent="0.25">
      <c r="B167" s="6" t="s">
        <v>15</v>
      </c>
      <c r="C167" s="87" t="str">
        <f t="shared" si="16"/>
        <v/>
      </c>
      <c r="D167" s="2" t="str" cm="1">
        <f t="array" ref="D167">_xll.RssMarket(C167, "銘柄名称")</f>
        <v/>
      </c>
      <c r="E167" s="2" t="str" cm="1">
        <f t="array" ref="E167">_xll.RssMarket(C167, "現在日付")</f>
        <v/>
      </c>
      <c r="F167" s="10" t="str">
        <f t="shared" ca="1" si="17"/>
        <v/>
      </c>
      <c r="G167" s="3"/>
      <c r="H167" s="4"/>
      <c r="I167" s="4"/>
      <c r="J167" s="5">
        <f t="shared" si="18"/>
        <v>0</v>
      </c>
      <c r="K167" s="4"/>
      <c r="L167" s="5">
        <f t="shared" si="19"/>
        <v>0</v>
      </c>
      <c r="M167" s="25" t="str">
        <f t="shared" si="20"/>
        <v>\0</v>
      </c>
      <c r="N167" s="23" t="str">
        <f t="shared" si="21"/>
        <v>データなし</v>
      </c>
      <c r="O167" s="24" t="str">
        <f>IF(MID(E167,3,1)=".",
   IF(OR(LEFT(E167,5)=LEFT(E168,5),LEFT(E167,5)=TEXT(E168,"mm.dd")),"",SUM($M$8:M167)-SUM($O$8:O166)),
   IF(OR(TEXT(E167,"mm.dd")=LEFT(E168,5),TEXT(E167,"mm.dd")=TEXT(E168,"mm.dd")),"",SUM($M$8:M167)-SUM($O$8:O166)))</f>
        <v/>
      </c>
    </row>
    <row r="168" spans="2:15" s="6" customFormat="1" ht="13.5" customHeight="1" x14ac:dyDescent="0.25">
      <c r="B168" s="6" t="s">
        <v>15</v>
      </c>
      <c r="C168" s="87" t="str">
        <f t="shared" si="16"/>
        <v/>
      </c>
      <c r="D168" s="2" t="str" cm="1">
        <f t="array" ref="D168">_xll.RssMarket(C168, "銘柄名称")</f>
        <v/>
      </c>
      <c r="E168" s="2" t="str" cm="1">
        <f t="array" ref="E168">_xll.RssMarket(C168, "現在日付")</f>
        <v/>
      </c>
      <c r="F168" s="10" t="str">
        <f t="shared" ca="1" si="17"/>
        <v/>
      </c>
      <c r="G168" s="3"/>
      <c r="H168" s="4"/>
      <c r="I168" s="4"/>
      <c r="J168" s="5">
        <f t="shared" si="18"/>
        <v>0</v>
      </c>
      <c r="K168" s="4"/>
      <c r="L168" s="5">
        <f t="shared" si="19"/>
        <v>0</v>
      </c>
      <c r="M168" s="25" t="str">
        <f t="shared" si="20"/>
        <v>\0</v>
      </c>
      <c r="N168" s="23" t="str">
        <f t="shared" si="21"/>
        <v>データなし</v>
      </c>
      <c r="O168" s="24" t="str">
        <f>IF(MID(E168,3,1)=".",
   IF(OR(LEFT(E168,5)=LEFT(E169,5),LEFT(E168,5)=TEXT(E169,"mm.dd")),"",SUM($M$8:M168)-SUM($O$8:O167)),
   IF(OR(TEXT(E168,"mm.dd")=LEFT(E169,5),TEXT(E168,"mm.dd")=TEXT(E169,"mm.dd")),"",SUM($M$8:M168)-SUM($O$8:O167)))</f>
        <v/>
      </c>
    </row>
    <row r="169" spans="2:15" s="6" customFormat="1" ht="13.5" customHeight="1" x14ac:dyDescent="0.25">
      <c r="B169" s="6" t="s">
        <v>15</v>
      </c>
      <c r="C169" s="87" t="str">
        <f t="shared" si="16"/>
        <v/>
      </c>
      <c r="D169" s="2" t="str" cm="1">
        <f t="array" ref="D169">_xll.RssMarket(C169, "銘柄名称")</f>
        <v/>
      </c>
      <c r="E169" s="2" t="str" cm="1">
        <f t="array" ref="E169">_xll.RssMarket(C169, "現在日付")</f>
        <v/>
      </c>
      <c r="F169" s="10" t="str">
        <f t="shared" ca="1" si="17"/>
        <v/>
      </c>
      <c r="G169" s="3"/>
      <c r="H169" s="4"/>
      <c r="I169" s="4"/>
      <c r="J169" s="5">
        <f t="shared" si="18"/>
        <v>0</v>
      </c>
      <c r="K169" s="4"/>
      <c r="L169" s="5">
        <f t="shared" si="19"/>
        <v>0</v>
      </c>
      <c r="M169" s="25" t="str">
        <f t="shared" si="20"/>
        <v>\0</v>
      </c>
      <c r="N169" s="23" t="str">
        <f t="shared" si="21"/>
        <v>データなし</v>
      </c>
      <c r="O169" s="24" t="str">
        <f>IF(MID(E169,3,1)=".",
   IF(OR(LEFT(E169,5)=LEFT(E170,5),LEFT(E169,5)=TEXT(E170,"mm.dd")),"",SUM($M$8:M169)-SUM($O$8:O168)),
   IF(OR(TEXT(E169,"mm.dd")=LEFT(E170,5),TEXT(E169,"mm.dd")=TEXT(E170,"mm.dd")),"",SUM($M$8:M169)-SUM($O$8:O168)))</f>
        <v/>
      </c>
    </row>
    <row r="170" spans="2:15" s="6" customFormat="1" ht="13.5" customHeight="1" x14ac:dyDescent="0.25">
      <c r="B170" s="6" t="s">
        <v>15</v>
      </c>
      <c r="C170" s="87" t="str">
        <f t="shared" si="16"/>
        <v/>
      </c>
      <c r="D170" s="2" t="str" cm="1">
        <f t="array" ref="D170">_xll.RssMarket(C170, "銘柄名称")</f>
        <v/>
      </c>
      <c r="E170" s="2" t="str" cm="1">
        <f t="array" ref="E170">_xll.RssMarket(C170, "現在日付")</f>
        <v/>
      </c>
      <c r="F170" s="10" t="str">
        <f t="shared" ca="1" si="17"/>
        <v/>
      </c>
      <c r="G170" s="3"/>
      <c r="H170" s="4"/>
      <c r="I170" s="4"/>
      <c r="J170" s="5">
        <f t="shared" si="18"/>
        <v>0</v>
      </c>
      <c r="K170" s="4"/>
      <c r="L170" s="5">
        <f t="shared" si="19"/>
        <v>0</v>
      </c>
      <c r="M170" s="25" t="str">
        <f t="shared" si="20"/>
        <v>\0</v>
      </c>
      <c r="N170" s="23" t="str">
        <f t="shared" si="21"/>
        <v>データなし</v>
      </c>
      <c r="O170" s="24" t="str">
        <f>IF(MID(E170,3,1)=".",
   IF(OR(LEFT(E170,5)=LEFT(E171,5),LEFT(E170,5)=TEXT(E171,"mm.dd")),"",SUM($M$8:M170)-SUM($O$8:O169)),
   IF(OR(TEXT(E170,"mm.dd")=LEFT(E171,5),TEXT(E170,"mm.dd")=TEXT(E171,"mm.dd")),"",SUM($M$8:M170)-SUM($O$8:O169)))</f>
        <v/>
      </c>
    </row>
    <row r="171" spans="2:15" s="6" customFormat="1" ht="13.5" customHeight="1" x14ac:dyDescent="0.25">
      <c r="B171" s="6" t="s">
        <v>15</v>
      </c>
      <c r="C171" s="87" t="str">
        <f t="shared" si="16"/>
        <v/>
      </c>
      <c r="D171" s="2" t="str" cm="1">
        <f t="array" ref="D171">_xll.RssMarket(C171, "銘柄名称")</f>
        <v/>
      </c>
      <c r="E171" s="2" t="str" cm="1">
        <f t="array" ref="E171">_xll.RssMarket(C171, "現在日付")</f>
        <v/>
      </c>
      <c r="F171" s="10" t="str">
        <f t="shared" ca="1" si="17"/>
        <v/>
      </c>
      <c r="G171" s="3"/>
      <c r="H171" s="4"/>
      <c r="I171" s="4"/>
      <c r="J171" s="5">
        <f t="shared" si="18"/>
        <v>0</v>
      </c>
      <c r="K171" s="4"/>
      <c r="L171" s="5">
        <f t="shared" si="19"/>
        <v>0</v>
      </c>
      <c r="M171" s="25" t="str">
        <f t="shared" si="20"/>
        <v>\0</v>
      </c>
      <c r="N171" s="23" t="str">
        <f t="shared" si="21"/>
        <v>データなし</v>
      </c>
      <c r="O171" s="24" t="str">
        <f>IF(MID(E171,3,1)=".",
   IF(OR(LEFT(E171,5)=LEFT(E172,5),LEFT(E171,5)=TEXT(E172,"mm.dd")),"",SUM($M$8:M171)-SUM($O$8:O170)),
   IF(OR(TEXT(E171,"mm.dd")=LEFT(E172,5),TEXT(E171,"mm.dd")=TEXT(E172,"mm.dd")),"",SUM($M$8:M171)-SUM($O$8:O170)))</f>
        <v/>
      </c>
    </row>
    <row r="172" spans="2:15" s="6" customFormat="1" ht="13.5" customHeight="1" x14ac:dyDescent="0.25">
      <c r="B172" s="6" t="s">
        <v>15</v>
      </c>
      <c r="C172" s="87" t="str">
        <f t="shared" si="16"/>
        <v/>
      </c>
      <c r="D172" s="2" t="str" cm="1">
        <f t="array" ref="D172">_xll.RssMarket(C172, "銘柄名称")</f>
        <v/>
      </c>
      <c r="E172" s="2" t="str" cm="1">
        <f t="array" ref="E172">_xll.RssMarket(C172, "現在日付")</f>
        <v/>
      </c>
      <c r="F172" s="10" t="str">
        <f t="shared" ca="1" si="17"/>
        <v/>
      </c>
      <c r="G172" s="3"/>
      <c r="H172" s="4"/>
      <c r="I172" s="4"/>
      <c r="J172" s="5">
        <f t="shared" si="18"/>
        <v>0</v>
      </c>
      <c r="K172" s="4"/>
      <c r="L172" s="5">
        <f t="shared" si="19"/>
        <v>0</v>
      </c>
      <c r="M172" s="25" t="str">
        <f t="shared" si="20"/>
        <v>\0</v>
      </c>
      <c r="N172" s="23" t="str">
        <f t="shared" si="21"/>
        <v>データなし</v>
      </c>
      <c r="O172" s="24" t="str">
        <f>IF(MID(E172,3,1)=".",
   IF(OR(LEFT(E172,5)=LEFT(E173,5),LEFT(E172,5)=TEXT(E173,"mm.dd")),"",SUM($M$8:M172)-SUM($O$8:O171)),
   IF(OR(TEXT(E172,"mm.dd")=LEFT(E173,5),TEXT(E172,"mm.dd")=TEXT(E173,"mm.dd")),"",SUM($M$8:M172)-SUM($O$8:O171)))</f>
        <v/>
      </c>
    </row>
    <row r="173" spans="2:15" s="6" customFormat="1" ht="13.5" customHeight="1" x14ac:dyDescent="0.25">
      <c r="B173" s="6" t="s">
        <v>15</v>
      </c>
      <c r="C173" s="87" t="str">
        <f t="shared" si="16"/>
        <v/>
      </c>
      <c r="D173" s="2" t="str" cm="1">
        <f t="array" ref="D173">_xll.RssMarket(C173, "銘柄名称")</f>
        <v/>
      </c>
      <c r="E173" s="2" t="str" cm="1">
        <f t="array" ref="E173">_xll.RssMarket(C173, "現在日付")</f>
        <v/>
      </c>
      <c r="F173" s="10" t="str">
        <f t="shared" ca="1" si="17"/>
        <v/>
      </c>
      <c r="G173" s="3"/>
      <c r="H173" s="4"/>
      <c r="I173" s="4"/>
      <c r="J173" s="5">
        <f t="shared" si="18"/>
        <v>0</v>
      </c>
      <c r="K173" s="4"/>
      <c r="L173" s="5">
        <f t="shared" si="19"/>
        <v>0</v>
      </c>
      <c r="M173" s="25" t="str">
        <f t="shared" si="20"/>
        <v>\0</v>
      </c>
      <c r="N173" s="23" t="str">
        <f t="shared" si="21"/>
        <v>データなし</v>
      </c>
      <c r="O173" s="24" t="str">
        <f>IF(MID(E173,3,1)=".",
   IF(OR(LEFT(E173,5)=LEFT(E174,5),LEFT(E173,5)=TEXT(E174,"mm.dd")),"",SUM($M$8:M173)-SUM($O$8:O172)),
   IF(OR(TEXT(E173,"mm.dd")=LEFT(E174,5),TEXT(E173,"mm.dd")=TEXT(E174,"mm.dd")),"",SUM($M$8:M173)-SUM($O$8:O172)))</f>
        <v/>
      </c>
    </row>
    <row r="174" spans="2:15" s="6" customFormat="1" ht="13.5" customHeight="1" x14ac:dyDescent="0.25">
      <c r="B174" s="6" t="s">
        <v>15</v>
      </c>
      <c r="C174" s="87" t="str">
        <f t="shared" si="16"/>
        <v/>
      </c>
      <c r="D174" s="2" t="str" cm="1">
        <f t="array" ref="D174">_xll.RssMarket(C174, "銘柄名称")</f>
        <v/>
      </c>
      <c r="E174" s="2" t="str" cm="1">
        <f t="array" ref="E174">_xll.RssMarket(C174, "現在日付")</f>
        <v/>
      </c>
      <c r="F174" s="10" t="str">
        <f t="shared" ca="1" si="17"/>
        <v/>
      </c>
      <c r="G174" s="3"/>
      <c r="H174" s="4"/>
      <c r="I174" s="4"/>
      <c r="J174" s="5">
        <f t="shared" si="18"/>
        <v>0</v>
      </c>
      <c r="K174" s="4"/>
      <c r="L174" s="5">
        <f t="shared" si="19"/>
        <v>0</v>
      </c>
      <c r="M174" s="25" t="str">
        <f t="shared" si="20"/>
        <v>\0</v>
      </c>
      <c r="N174" s="23" t="str">
        <f t="shared" si="21"/>
        <v>データなし</v>
      </c>
      <c r="O174" s="24" t="str">
        <f>IF(MID(E174,3,1)=".",
   IF(OR(LEFT(E174,5)=LEFT(E175,5),LEFT(E174,5)=TEXT(E175,"mm.dd")),"",SUM($M$8:M174)-SUM($O$8:O173)),
   IF(OR(TEXT(E174,"mm.dd")=LEFT(E175,5),TEXT(E174,"mm.dd")=TEXT(E175,"mm.dd")),"",SUM($M$8:M174)-SUM($O$8:O173)))</f>
        <v/>
      </c>
    </row>
    <row r="175" spans="2:15" s="6" customFormat="1" ht="13.5" customHeight="1" x14ac:dyDescent="0.25">
      <c r="B175" s="6" t="s">
        <v>15</v>
      </c>
      <c r="C175" s="87" t="str">
        <f t="shared" si="16"/>
        <v/>
      </c>
      <c r="D175" s="2" t="str" cm="1">
        <f t="array" ref="D175">_xll.RssMarket(C175, "銘柄名称")</f>
        <v/>
      </c>
      <c r="E175" s="2" t="str" cm="1">
        <f t="array" ref="E175">_xll.RssMarket(C175, "現在日付")</f>
        <v/>
      </c>
      <c r="F175" s="10" t="str">
        <f t="shared" ca="1" si="17"/>
        <v/>
      </c>
      <c r="G175" s="3"/>
      <c r="H175" s="4"/>
      <c r="I175" s="4"/>
      <c r="J175" s="5">
        <f t="shared" si="18"/>
        <v>0</v>
      </c>
      <c r="K175" s="4"/>
      <c r="L175" s="5">
        <f t="shared" si="19"/>
        <v>0</v>
      </c>
      <c r="M175" s="25" t="str">
        <f t="shared" si="20"/>
        <v>\0</v>
      </c>
      <c r="N175" s="23" t="str">
        <f t="shared" si="21"/>
        <v>データなし</v>
      </c>
      <c r="O175" s="24" t="str">
        <f>IF(MID(E175,3,1)=".",
   IF(OR(LEFT(E175,5)=LEFT(E176,5),LEFT(E175,5)=TEXT(E176,"mm.dd")),"",SUM($M$8:M175)-SUM($O$8:O174)),
   IF(OR(TEXT(E175,"mm.dd")=LEFT(E176,5),TEXT(E175,"mm.dd")=TEXT(E176,"mm.dd")),"",SUM($M$8:M175)-SUM($O$8:O174)))</f>
        <v/>
      </c>
    </row>
    <row r="176" spans="2:15" s="6" customFormat="1" ht="13.5" customHeight="1" x14ac:dyDescent="0.25">
      <c r="B176" s="6" t="s">
        <v>15</v>
      </c>
      <c r="C176" s="87" t="str">
        <f t="shared" si="16"/>
        <v/>
      </c>
      <c r="D176" s="2" t="str" cm="1">
        <f t="array" ref="D176">_xll.RssMarket(C176, "銘柄名称")</f>
        <v/>
      </c>
      <c r="E176" s="2" t="str" cm="1">
        <f t="array" ref="E176">_xll.RssMarket(C176, "現在日付")</f>
        <v/>
      </c>
      <c r="F176" s="10" t="str">
        <f t="shared" ca="1" si="17"/>
        <v/>
      </c>
      <c r="G176" s="3"/>
      <c r="H176" s="4"/>
      <c r="I176" s="4"/>
      <c r="J176" s="5">
        <f t="shared" si="18"/>
        <v>0</v>
      </c>
      <c r="K176" s="4"/>
      <c r="L176" s="5">
        <f t="shared" si="19"/>
        <v>0</v>
      </c>
      <c r="M176" s="25" t="str">
        <f t="shared" si="20"/>
        <v>\0</v>
      </c>
      <c r="N176" s="23" t="str">
        <f t="shared" si="21"/>
        <v>データなし</v>
      </c>
      <c r="O176" s="24" t="str">
        <f>IF(MID(E176,3,1)=".",
   IF(OR(LEFT(E176,5)=LEFT(E177,5),LEFT(E176,5)=TEXT(E177,"mm.dd")),"",SUM($M$8:M176)-SUM($O$8:O175)),
   IF(OR(TEXT(E176,"mm.dd")=LEFT(E177,5),TEXT(E176,"mm.dd")=TEXT(E177,"mm.dd")),"",SUM($M$8:M176)-SUM($O$8:O175)))</f>
        <v/>
      </c>
    </row>
    <row r="177" spans="2:15" s="6" customFormat="1" ht="13.5" customHeight="1" x14ac:dyDescent="0.25">
      <c r="B177" s="6" t="s">
        <v>15</v>
      </c>
      <c r="C177" s="87" t="str">
        <f t="shared" si="16"/>
        <v/>
      </c>
      <c r="D177" s="2" t="str" cm="1">
        <f t="array" ref="D177">_xll.RssMarket(C177, "銘柄名称")</f>
        <v/>
      </c>
      <c r="E177" s="2" t="str" cm="1">
        <f t="array" ref="E177">_xll.RssMarket(C177, "現在日付")</f>
        <v/>
      </c>
      <c r="F177" s="10" t="str">
        <f t="shared" ca="1" si="17"/>
        <v/>
      </c>
      <c r="G177" s="3"/>
      <c r="H177" s="4"/>
      <c r="I177" s="4"/>
      <c r="J177" s="5">
        <f t="shared" si="18"/>
        <v>0</v>
      </c>
      <c r="K177" s="4"/>
      <c r="L177" s="5">
        <f t="shared" si="19"/>
        <v>0</v>
      </c>
      <c r="M177" s="25" t="str">
        <f t="shared" si="20"/>
        <v>\0</v>
      </c>
      <c r="N177" s="23" t="str">
        <f t="shared" si="21"/>
        <v>データなし</v>
      </c>
      <c r="O177" s="24" t="str">
        <f>IF(MID(E177,3,1)=".",
   IF(OR(LEFT(E177,5)=LEFT(E178,5),LEFT(E177,5)=TEXT(E178,"mm.dd")),"",SUM($M$8:M177)-SUM($O$8:O176)),
   IF(OR(TEXT(E177,"mm.dd")=LEFT(E178,5),TEXT(E177,"mm.dd")=TEXT(E178,"mm.dd")),"",SUM($M$8:M177)-SUM($O$8:O176)))</f>
        <v/>
      </c>
    </row>
    <row r="178" spans="2:15" s="6" customFormat="1" ht="13.5" customHeight="1" x14ac:dyDescent="0.25">
      <c r="B178" s="6" t="s">
        <v>15</v>
      </c>
      <c r="C178" s="87" t="str">
        <f t="shared" si="16"/>
        <v/>
      </c>
      <c r="D178" s="2" t="str" cm="1">
        <f t="array" ref="D178">_xll.RssMarket(C178, "銘柄名称")</f>
        <v/>
      </c>
      <c r="E178" s="2" t="str" cm="1">
        <f t="array" ref="E178">_xll.RssMarket(C178, "現在日付")</f>
        <v/>
      </c>
      <c r="F178" s="10" t="str">
        <f t="shared" ca="1" si="17"/>
        <v/>
      </c>
      <c r="G178" s="3"/>
      <c r="H178" s="4"/>
      <c r="I178" s="4"/>
      <c r="J178" s="5">
        <f t="shared" si="18"/>
        <v>0</v>
      </c>
      <c r="K178" s="4"/>
      <c r="L178" s="5">
        <f t="shared" si="19"/>
        <v>0</v>
      </c>
      <c r="M178" s="25" t="str">
        <f t="shared" si="20"/>
        <v>\0</v>
      </c>
      <c r="N178" s="23" t="str">
        <f t="shared" si="21"/>
        <v>データなし</v>
      </c>
      <c r="O178" s="24" t="str">
        <f>IF(MID(E178,3,1)=".",
   IF(OR(LEFT(E178,5)=LEFT(E179,5),LEFT(E178,5)=TEXT(E179,"mm.dd")),"",SUM($M$8:M178)-SUM($O$8:O177)),
   IF(OR(TEXT(E178,"mm.dd")=LEFT(E179,5),TEXT(E178,"mm.dd")=TEXT(E179,"mm.dd")),"",SUM($M$8:M178)-SUM($O$8:O177)))</f>
        <v/>
      </c>
    </row>
    <row r="179" spans="2:15" s="6" customFormat="1" ht="13.5" customHeight="1" x14ac:dyDescent="0.25">
      <c r="B179" s="6" t="s">
        <v>15</v>
      </c>
      <c r="C179" s="87" t="str">
        <f t="shared" si="16"/>
        <v/>
      </c>
      <c r="D179" s="2" t="str" cm="1">
        <f t="array" ref="D179">_xll.RssMarket(C179, "銘柄名称")</f>
        <v/>
      </c>
      <c r="E179" s="2" t="str" cm="1">
        <f t="array" ref="E179">_xll.RssMarket(C179, "現在日付")</f>
        <v/>
      </c>
      <c r="F179" s="10" t="str">
        <f t="shared" ca="1" si="17"/>
        <v/>
      </c>
      <c r="G179" s="3"/>
      <c r="H179" s="4"/>
      <c r="I179" s="4"/>
      <c r="J179" s="5">
        <f t="shared" si="18"/>
        <v>0</v>
      </c>
      <c r="K179" s="4"/>
      <c r="L179" s="5">
        <f t="shared" si="19"/>
        <v>0</v>
      </c>
      <c r="M179" s="25" t="str">
        <f t="shared" si="20"/>
        <v>\0</v>
      </c>
      <c r="N179" s="23" t="str">
        <f t="shared" si="21"/>
        <v>データなし</v>
      </c>
      <c r="O179" s="24" t="str">
        <f>IF(MID(E179,3,1)=".",
   IF(OR(LEFT(E179,5)=LEFT(E180,5),LEFT(E179,5)=TEXT(E180,"mm.dd")),"",SUM($M$8:M179)-SUM($O$8:O178)),
   IF(OR(TEXT(E179,"mm.dd")=LEFT(E180,5),TEXT(E179,"mm.dd")=TEXT(E180,"mm.dd")),"",SUM($M$8:M179)-SUM($O$8:O178)))</f>
        <v/>
      </c>
    </row>
    <row r="180" spans="2:15" s="6" customFormat="1" ht="13.5" customHeight="1" x14ac:dyDescent="0.25">
      <c r="B180" s="6" t="s">
        <v>15</v>
      </c>
      <c r="C180" s="87" t="str">
        <f t="shared" si="16"/>
        <v/>
      </c>
      <c r="D180" s="2" t="str" cm="1">
        <f t="array" ref="D180">_xll.RssMarket(C180, "銘柄名称")</f>
        <v/>
      </c>
      <c r="E180" s="2" t="str" cm="1">
        <f t="array" ref="E180">_xll.RssMarket(C180, "現在日付")</f>
        <v/>
      </c>
      <c r="F180" s="10" t="str">
        <f t="shared" ca="1" si="17"/>
        <v/>
      </c>
      <c r="G180" s="3"/>
      <c r="H180" s="4"/>
      <c r="I180" s="4"/>
      <c r="J180" s="5">
        <f t="shared" si="18"/>
        <v>0</v>
      </c>
      <c r="K180" s="4"/>
      <c r="L180" s="5">
        <f t="shared" si="19"/>
        <v>0</v>
      </c>
      <c r="M180" s="25" t="str">
        <f t="shared" si="20"/>
        <v>\0</v>
      </c>
      <c r="N180" s="23" t="str">
        <f t="shared" si="21"/>
        <v>データなし</v>
      </c>
      <c r="O180" s="24" t="str">
        <f>IF(MID(E180,3,1)=".",
   IF(OR(LEFT(E180,5)=LEFT(E181,5),LEFT(E180,5)=TEXT(E181,"mm.dd")),"",SUM($M$8:M180)-SUM($O$8:O179)),
   IF(OR(TEXT(E180,"mm.dd")=LEFT(E181,5),TEXT(E180,"mm.dd")=TEXT(E181,"mm.dd")),"",SUM($M$8:M180)-SUM($O$8:O179)))</f>
        <v/>
      </c>
    </row>
    <row r="181" spans="2:15" s="6" customFormat="1" ht="13.5" customHeight="1" x14ac:dyDescent="0.25">
      <c r="B181" s="6" t="s">
        <v>15</v>
      </c>
      <c r="C181" s="87" t="str">
        <f t="shared" si="16"/>
        <v/>
      </c>
      <c r="D181" s="2" t="str" cm="1">
        <f t="array" ref="D181">_xll.RssMarket(C181, "銘柄名称")</f>
        <v/>
      </c>
      <c r="E181" s="2" t="str" cm="1">
        <f t="array" ref="E181">_xll.RssMarket(C181, "現在日付")</f>
        <v/>
      </c>
      <c r="F181" s="10" t="str">
        <f t="shared" ca="1" si="17"/>
        <v/>
      </c>
      <c r="G181" s="3"/>
      <c r="H181" s="4"/>
      <c r="I181" s="4"/>
      <c r="J181" s="5">
        <f t="shared" si="18"/>
        <v>0</v>
      </c>
      <c r="K181" s="4"/>
      <c r="L181" s="5">
        <f t="shared" si="19"/>
        <v>0</v>
      </c>
      <c r="M181" s="25" t="str">
        <f t="shared" si="20"/>
        <v>\0</v>
      </c>
      <c r="N181" s="23" t="str">
        <f t="shared" si="21"/>
        <v>データなし</v>
      </c>
      <c r="O181" s="24" t="str">
        <f>IF(MID(E181,3,1)=".",
   IF(OR(LEFT(E181,5)=LEFT(E182,5),LEFT(E181,5)=TEXT(E182,"mm.dd")),"",SUM($M$8:M181)-SUM($O$8:O180)),
   IF(OR(TEXT(E181,"mm.dd")=LEFT(E182,5),TEXT(E181,"mm.dd")=TEXT(E182,"mm.dd")),"",SUM($M$8:M181)-SUM($O$8:O180)))</f>
        <v/>
      </c>
    </row>
    <row r="182" spans="2:15" s="6" customFormat="1" ht="13.5" customHeight="1" x14ac:dyDescent="0.25">
      <c r="B182" s="6" t="s">
        <v>15</v>
      </c>
      <c r="C182" s="87" t="str">
        <f t="shared" si="16"/>
        <v/>
      </c>
      <c r="D182" s="2" t="str" cm="1">
        <f t="array" ref="D182">_xll.RssMarket(C182, "銘柄名称")</f>
        <v/>
      </c>
      <c r="E182" s="2" t="str" cm="1">
        <f t="array" ref="E182">_xll.RssMarket(C182, "現在日付")</f>
        <v/>
      </c>
      <c r="F182" s="10" t="str">
        <f t="shared" ca="1" si="17"/>
        <v/>
      </c>
      <c r="G182" s="3"/>
      <c r="H182" s="4"/>
      <c r="I182" s="4"/>
      <c r="J182" s="5">
        <f t="shared" si="18"/>
        <v>0</v>
      </c>
      <c r="K182" s="4"/>
      <c r="L182" s="5">
        <f t="shared" si="19"/>
        <v>0</v>
      </c>
      <c r="M182" s="25" t="str">
        <f t="shared" si="20"/>
        <v>\0</v>
      </c>
      <c r="N182" s="23" t="str">
        <f t="shared" si="21"/>
        <v>データなし</v>
      </c>
      <c r="O182" s="24" t="str">
        <f>IF(MID(E182,3,1)=".",
   IF(OR(LEFT(E182,5)=LEFT(E183,5),LEFT(E182,5)=TEXT(E183,"mm.dd")),"",SUM($M$8:M182)-SUM($O$8:O181)),
   IF(OR(TEXT(E182,"mm.dd")=LEFT(E183,5),TEXT(E182,"mm.dd")=TEXT(E183,"mm.dd")),"",SUM($M$8:M182)-SUM($O$8:O181)))</f>
        <v/>
      </c>
    </row>
    <row r="183" spans="2:15" s="6" customFormat="1" ht="13.5" customHeight="1" x14ac:dyDescent="0.25">
      <c r="B183" s="6" t="s">
        <v>15</v>
      </c>
      <c r="C183" s="87" t="str">
        <f t="shared" si="16"/>
        <v/>
      </c>
      <c r="D183" s="2" t="str" cm="1">
        <f t="array" ref="D183">_xll.RssMarket(C183, "銘柄名称")</f>
        <v/>
      </c>
      <c r="E183" s="2" t="str" cm="1">
        <f t="array" ref="E183">_xll.RssMarket(C183, "現在日付")</f>
        <v/>
      </c>
      <c r="F183" s="10" t="str">
        <f t="shared" ca="1" si="17"/>
        <v/>
      </c>
      <c r="G183" s="3"/>
      <c r="H183" s="4"/>
      <c r="I183" s="4"/>
      <c r="J183" s="5">
        <f t="shared" si="18"/>
        <v>0</v>
      </c>
      <c r="K183" s="4"/>
      <c r="L183" s="5">
        <f t="shared" si="19"/>
        <v>0</v>
      </c>
      <c r="M183" s="25" t="str">
        <f t="shared" si="20"/>
        <v>\0</v>
      </c>
      <c r="N183" s="23" t="str">
        <f t="shared" si="21"/>
        <v>データなし</v>
      </c>
      <c r="O183" s="24" t="str">
        <f>IF(MID(E183,3,1)=".",
   IF(OR(LEFT(E183,5)=LEFT(E184,5),LEFT(E183,5)=TEXT(E184,"mm.dd")),"",SUM($M$8:M183)-SUM($O$8:O182)),
   IF(OR(TEXT(E183,"mm.dd")=LEFT(E184,5),TEXT(E183,"mm.dd")=TEXT(E184,"mm.dd")),"",SUM($M$8:M183)-SUM($O$8:O182)))</f>
        <v/>
      </c>
    </row>
    <row r="184" spans="2:15" s="6" customFormat="1" ht="13.5" customHeight="1" x14ac:dyDescent="0.25">
      <c r="B184" s="6" t="s">
        <v>15</v>
      </c>
      <c r="C184" s="87" t="str">
        <f t="shared" si="16"/>
        <v/>
      </c>
      <c r="D184" s="2" t="str" cm="1">
        <f t="array" ref="D184">_xll.RssMarket(C184, "銘柄名称")</f>
        <v/>
      </c>
      <c r="E184" s="2" t="str" cm="1">
        <f t="array" ref="E184">_xll.RssMarket(C184, "現在日付")</f>
        <v/>
      </c>
      <c r="F184" s="10" t="str">
        <f t="shared" ca="1" si="17"/>
        <v/>
      </c>
      <c r="G184" s="3"/>
      <c r="H184" s="4"/>
      <c r="I184" s="4"/>
      <c r="J184" s="5">
        <f t="shared" si="18"/>
        <v>0</v>
      </c>
      <c r="K184" s="4"/>
      <c r="L184" s="5">
        <f t="shared" si="19"/>
        <v>0</v>
      </c>
      <c r="M184" s="25" t="str">
        <f t="shared" si="20"/>
        <v>\0</v>
      </c>
      <c r="N184" s="23" t="str">
        <f t="shared" si="21"/>
        <v>データなし</v>
      </c>
      <c r="O184" s="24" t="str">
        <f>IF(MID(E184,3,1)=".",
   IF(OR(LEFT(E184,5)=LEFT(E185,5),LEFT(E184,5)=TEXT(E185,"mm.dd")),"",SUM($M$8:M184)-SUM($O$8:O183)),
   IF(OR(TEXT(E184,"mm.dd")=LEFT(E185,5),TEXT(E184,"mm.dd")=TEXT(E185,"mm.dd")),"",SUM($M$8:M184)-SUM($O$8:O183)))</f>
        <v/>
      </c>
    </row>
    <row r="185" spans="2:15" s="6" customFormat="1" ht="13.5" customHeight="1" x14ac:dyDescent="0.25">
      <c r="B185" s="6" t="s">
        <v>15</v>
      </c>
      <c r="C185" s="87" t="str">
        <f t="shared" si="16"/>
        <v/>
      </c>
      <c r="D185" s="2" t="str" cm="1">
        <f t="array" ref="D185">_xll.RssMarket(C185, "銘柄名称")</f>
        <v/>
      </c>
      <c r="E185" s="2" t="str" cm="1">
        <f t="array" ref="E185">_xll.RssMarket(C185, "現在日付")</f>
        <v/>
      </c>
      <c r="F185" s="10" t="str">
        <f t="shared" ca="1" si="17"/>
        <v/>
      </c>
      <c r="G185" s="3"/>
      <c r="H185" s="4"/>
      <c r="I185" s="4"/>
      <c r="J185" s="5">
        <f t="shared" si="18"/>
        <v>0</v>
      </c>
      <c r="K185" s="4"/>
      <c r="L185" s="5">
        <f t="shared" si="19"/>
        <v>0</v>
      </c>
      <c r="M185" s="25" t="str">
        <f t="shared" si="20"/>
        <v>\0</v>
      </c>
      <c r="N185" s="23" t="str">
        <f t="shared" si="21"/>
        <v>データなし</v>
      </c>
      <c r="O185" s="24" t="str">
        <f>IF(MID(E185,3,1)=".",
   IF(OR(LEFT(E185,5)=LEFT(E186,5),LEFT(E185,5)=TEXT(E186,"mm.dd")),"",SUM($M$8:M185)-SUM($O$8:O184)),
   IF(OR(TEXT(E185,"mm.dd")=LEFT(E186,5),TEXT(E185,"mm.dd")=TEXT(E186,"mm.dd")),"",SUM($M$8:M185)-SUM($O$8:O184)))</f>
        <v/>
      </c>
    </row>
    <row r="186" spans="2:15" s="6" customFormat="1" ht="13.5" customHeight="1" x14ac:dyDescent="0.25">
      <c r="B186" s="6" t="s">
        <v>15</v>
      </c>
      <c r="C186" s="87" t="str">
        <f t="shared" si="16"/>
        <v/>
      </c>
      <c r="D186" s="2" t="str" cm="1">
        <f t="array" ref="D186">_xll.RssMarket(C186, "銘柄名称")</f>
        <v/>
      </c>
      <c r="E186" s="2" t="str" cm="1">
        <f t="array" ref="E186">_xll.RssMarket(C186, "現在日付")</f>
        <v/>
      </c>
      <c r="F186" s="10" t="str">
        <f t="shared" ca="1" si="17"/>
        <v/>
      </c>
      <c r="G186" s="3"/>
      <c r="H186" s="4"/>
      <c r="I186" s="4"/>
      <c r="J186" s="5">
        <f t="shared" si="18"/>
        <v>0</v>
      </c>
      <c r="K186" s="4"/>
      <c r="L186" s="5">
        <f t="shared" si="19"/>
        <v>0</v>
      </c>
      <c r="M186" s="25" t="str">
        <f t="shared" si="20"/>
        <v>\0</v>
      </c>
      <c r="N186" s="23" t="str">
        <f t="shared" si="21"/>
        <v>データなし</v>
      </c>
      <c r="O186" s="24" t="str">
        <f>IF(MID(E186,3,1)=".",
   IF(OR(LEFT(E186,5)=LEFT(E187,5),LEFT(E186,5)=TEXT(E187,"mm.dd")),"",SUM($M$8:M186)-SUM($O$8:O185)),
   IF(OR(TEXT(E186,"mm.dd")=LEFT(E187,5),TEXT(E186,"mm.dd")=TEXT(E187,"mm.dd")),"",SUM($M$8:M186)-SUM($O$8:O185)))</f>
        <v/>
      </c>
    </row>
    <row r="187" spans="2:15" s="6" customFormat="1" ht="13.5" customHeight="1" x14ac:dyDescent="0.25">
      <c r="B187" s="6" t="s">
        <v>15</v>
      </c>
      <c r="C187" s="87" t="str">
        <f t="shared" si="16"/>
        <v/>
      </c>
      <c r="D187" s="2" t="str" cm="1">
        <f t="array" ref="D187">_xll.RssMarket(C187, "銘柄名称")</f>
        <v/>
      </c>
      <c r="E187" s="2" t="str" cm="1">
        <f t="array" ref="E187">_xll.RssMarket(C187, "現在日付")</f>
        <v/>
      </c>
      <c r="F187" s="10" t="str">
        <f t="shared" ca="1" si="17"/>
        <v/>
      </c>
      <c r="G187" s="3"/>
      <c r="H187" s="4"/>
      <c r="I187" s="4"/>
      <c r="J187" s="5">
        <f t="shared" si="18"/>
        <v>0</v>
      </c>
      <c r="K187" s="4"/>
      <c r="L187" s="5">
        <f t="shared" si="19"/>
        <v>0</v>
      </c>
      <c r="M187" s="25" t="str">
        <f t="shared" si="20"/>
        <v>\0</v>
      </c>
      <c r="N187" s="23" t="str">
        <f t="shared" si="21"/>
        <v>データなし</v>
      </c>
      <c r="O187" s="24" t="str">
        <f>IF(MID(E187,3,1)=".",
   IF(OR(LEFT(E187,5)=LEFT(E188,5),LEFT(E187,5)=TEXT(E188,"mm.dd")),"",SUM($M$8:M187)-SUM($O$8:O186)),
   IF(OR(TEXT(E187,"mm.dd")=LEFT(E188,5),TEXT(E187,"mm.dd")=TEXT(E188,"mm.dd")),"",SUM($M$8:M187)-SUM($O$8:O186)))</f>
        <v/>
      </c>
    </row>
    <row r="188" spans="2:15" s="6" customFormat="1" ht="13.5" customHeight="1" x14ac:dyDescent="0.25">
      <c r="B188" s="6" t="s">
        <v>15</v>
      </c>
      <c r="C188" s="87" t="str">
        <f t="shared" si="16"/>
        <v/>
      </c>
      <c r="D188" s="2" t="str" cm="1">
        <f t="array" ref="D188">_xll.RssMarket(C188, "銘柄名称")</f>
        <v/>
      </c>
      <c r="E188" s="2" t="str" cm="1">
        <f t="array" ref="E188">_xll.RssMarket(C188, "現在日付")</f>
        <v/>
      </c>
      <c r="F188" s="10" t="str">
        <f t="shared" ca="1" si="17"/>
        <v/>
      </c>
      <c r="G188" s="3"/>
      <c r="H188" s="4"/>
      <c r="I188" s="4"/>
      <c r="J188" s="5">
        <f t="shared" si="18"/>
        <v>0</v>
      </c>
      <c r="K188" s="4"/>
      <c r="L188" s="5">
        <f t="shared" si="19"/>
        <v>0</v>
      </c>
      <c r="M188" s="25" t="str">
        <f t="shared" si="20"/>
        <v>\0</v>
      </c>
      <c r="N188" s="23" t="str">
        <f t="shared" si="21"/>
        <v>データなし</v>
      </c>
      <c r="O188" s="24" t="str">
        <f>IF(MID(E188,3,1)=".",
   IF(OR(LEFT(E188,5)=LEFT(E189,5),LEFT(E188,5)=TEXT(E189,"mm.dd")),"",SUM($M$8:M188)-SUM($O$8:O187)),
   IF(OR(TEXT(E188,"mm.dd")=LEFT(E189,5),TEXT(E188,"mm.dd")=TEXT(E189,"mm.dd")),"",SUM($M$8:M188)-SUM($O$8:O187)))</f>
        <v/>
      </c>
    </row>
    <row r="189" spans="2:15" s="6" customFormat="1" ht="13.5" customHeight="1" x14ac:dyDescent="0.25">
      <c r="B189" s="6" t="s">
        <v>15</v>
      </c>
      <c r="C189" s="87" t="str">
        <f t="shared" si="16"/>
        <v/>
      </c>
      <c r="D189" s="2" t="str" cm="1">
        <f t="array" ref="D189">_xll.RssMarket(C189, "銘柄名称")</f>
        <v/>
      </c>
      <c r="E189" s="2" t="str" cm="1">
        <f t="array" ref="E189">_xll.RssMarket(C189, "現在日付")</f>
        <v/>
      </c>
      <c r="F189" s="10" t="str">
        <f t="shared" ca="1" si="17"/>
        <v/>
      </c>
      <c r="G189" s="3"/>
      <c r="H189" s="4"/>
      <c r="I189" s="4"/>
      <c r="J189" s="5">
        <f t="shared" si="18"/>
        <v>0</v>
      </c>
      <c r="K189" s="4"/>
      <c r="L189" s="5">
        <f t="shared" si="19"/>
        <v>0</v>
      </c>
      <c r="M189" s="25" t="str">
        <f t="shared" si="20"/>
        <v>\0</v>
      </c>
      <c r="N189" s="23" t="str">
        <f t="shared" si="21"/>
        <v>データなし</v>
      </c>
      <c r="O189" s="24" t="str">
        <f>IF(MID(E189,3,1)=".",
   IF(OR(LEFT(E189,5)=LEFT(E190,5),LEFT(E189,5)=TEXT(E190,"mm.dd")),"",SUM($M$8:M189)-SUM($O$8:O188)),
   IF(OR(TEXT(E189,"mm.dd")=LEFT(E190,5),TEXT(E189,"mm.dd")=TEXT(E190,"mm.dd")),"",SUM($M$8:M189)-SUM($O$8:O188)))</f>
        <v/>
      </c>
    </row>
    <row r="190" spans="2:15" s="6" customFormat="1" ht="13.5" customHeight="1" x14ac:dyDescent="0.25">
      <c r="B190" s="6" t="s">
        <v>15</v>
      </c>
      <c r="C190" s="87" t="str">
        <f t="shared" si="16"/>
        <v/>
      </c>
      <c r="D190" s="2" t="str" cm="1">
        <f t="array" ref="D190">_xll.RssMarket(C190, "銘柄名称")</f>
        <v/>
      </c>
      <c r="E190" s="2" t="str" cm="1">
        <f t="array" ref="E190">_xll.RssMarket(C190, "現在日付")</f>
        <v/>
      </c>
      <c r="F190" s="10" t="str">
        <f t="shared" ca="1" si="17"/>
        <v/>
      </c>
      <c r="G190" s="3"/>
      <c r="H190" s="4"/>
      <c r="I190" s="4"/>
      <c r="J190" s="5">
        <f t="shared" si="18"/>
        <v>0</v>
      </c>
      <c r="K190" s="4"/>
      <c r="L190" s="5">
        <f t="shared" si="19"/>
        <v>0</v>
      </c>
      <c r="M190" s="25" t="str">
        <f t="shared" si="20"/>
        <v>\0</v>
      </c>
      <c r="N190" s="23" t="str">
        <f t="shared" si="21"/>
        <v>データなし</v>
      </c>
      <c r="O190" s="24" t="str">
        <f>IF(MID(E190,3,1)=".",
   IF(OR(LEFT(E190,5)=LEFT(E191,5),LEFT(E190,5)=TEXT(E191,"mm.dd")),"",SUM($M$8:M190)-SUM($O$8:O189)),
   IF(OR(TEXT(E190,"mm.dd")=LEFT(E191,5),TEXT(E190,"mm.dd")=TEXT(E191,"mm.dd")),"",SUM($M$8:M190)-SUM($O$8:O189)))</f>
        <v/>
      </c>
    </row>
    <row r="191" spans="2:15" s="6" customFormat="1" ht="13.5" customHeight="1" x14ac:dyDescent="0.25">
      <c r="B191" s="6" t="s">
        <v>15</v>
      </c>
      <c r="C191" s="87" t="str">
        <f t="shared" si="16"/>
        <v/>
      </c>
      <c r="D191" s="2" t="str" cm="1">
        <f t="array" ref="D191">_xll.RssMarket(C191, "銘柄名称")</f>
        <v/>
      </c>
      <c r="E191" s="2" t="str" cm="1">
        <f t="array" ref="E191">_xll.RssMarket(C191, "現在日付")</f>
        <v/>
      </c>
      <c r="F191" s="10" t="str">
        <f t="shared" ca="1" si="17"/>
        <v/>
      </c>
      <c r="G191" s="3"/>
      <c r="H191" s="4"/>
      <c r="I191" s="4"/>
      <c r="J191" s="5">
        <f t="shared" si="18"/>
        <v>0</v>
      </c>
      <c r="K191" s="4"/>
      <c r="L191" s="5">
        <f t="shared" si="19"/>
        <v>0</v>
      </c>
      <c r="M191" s="25" t="str">
        <f t="shared" si="20"/>
        <v>\0</v>
      </c>
      <c r="N191" s="23" t="str">
        <f t="shared" si="21"/>
        <v>データなし</v>
      </c>
      <c r="O191" s="24" t="str">
        <f>IF(MID(E191,3,1)=".",
   IF(OR(LEFT(E191,5)=LEFT(E192,5),LEFT(E191,5)=TEXT(E192,"mm.dd")),"",SUM($M$8:M191)-SUM($O$8:O190)),
   IF(OR(TEXT(E191,"mm.dd")=LEFT(E192,5),TEXT(E191,"mm.dd")=TEXT(E192,"mm.dd")),"",SUM($M$8:M191)-SUM($O$8:O190)))</f>
        <v/>
      </c>
    </row>
    <row r="192" spans="2:15" s="6" customFormat="1" ht="13.5" customHeight="1" x14ac:dyDescent="0.25">
      <c r="B192" s="6" t="s">
        <v>15</v>
      </c>
      <c r="C192" s="87" t="str">
        <f t="shared" si="16"/>
        <v/>
      </c>
      <c r="D192" s="2" t="str" cm="1">
        <f t="array" ref="D192">_xll.RssMarket(C192, "銘柄名称")</f>
        <v/>
      </c>
      <c r="E192" s="2" t="str" cm="1">
        <f t="array" ref="E192">_xll.RssMarket(C192, "現在日付")</f>
        <v/>
      </c>
      <c r="F192" s="10" t="str">
        <f t="shared" ca="1" si="17"/>
        <v/>
      </c>
      <c r="G192" s="3"/>
      <c r="H192" s="4"/>
      <c r="I192" s="4"/>
      <c r="J192" s="5">
        <f t="shared" si="18"/>
        <v>0</v>
      </c>
      <c r="K192" s="4"/>
      <c r="L192" s="5">
        <f t="shared" si="19"/>
        <v>0</v>
      </c>
      <c r="M192" s="25" t="str">
        <f t="shared" si="20"/>
        <v>\0</v>
      </c>
      <c r="N192" s="23" t="str">
        <f t="shared" si="21"/>
        <v>データなし</v>
      </c>
      <c r="O192" s="24" t="str">
        <f>IF(MID(E192,3,1)=".",
   IF(OR(LEFT(E192,5)=LEFT(E193,5),LEFT(E192,5)=TEXT(E193,"mm.dd")),"",SUM($M$8:M192)-SUM($O$8:O191)),
   IF(OR(TEXT(E192,"mm.dd")=LEFT(E193,5),TEXT(E192,"mm.dd")=TEXT(E193,"mm.dd")),"",SUM($M$8:M192)-SUM($O$8:O191)))</f>
        <v/>
      </c>
    </row>
    <row r="193" spans="2:15" s="6" customFormat="1" ht="13.5" customHeight="1" x14ac:dyDescent="0.25">
      <c r="B193" s="6" t="s">
        <v>15</v>
      </c>
      <c r="C193" s="87" t="str">
        <f t="shared" si="16"/>
        <v/>
      </c>
      <c r="D193" s="2" t="str" cm="1">
        <f t="array" ref="D193">_xll.RssMarket(C193, "銘柄名称")</f>
        <v/>
      </c>
      <c r="E193" s="2" t="str" cm="1">
        <f t="array" ref="E193">_xll.RssMarket(C193, "現在日付")</f>
        <v/>
      </c>
      <c r="F193" s="10" t="str">
        <f t="shared" ca="1" si="17"/>
        <v/>
      </c>
      <c r="G193" s="3"/>
      <c r="H193" s="4"/>
      <c r="I193" s="4"/>
      <c r="J193" s="5">
        <f t="shared" si="18"/>
        <v>0</v>
      </c>
      <c r="K193" s="4"/>
      <c r="L193" s="5">
        <f t="shared" si="19"/>
        <v>0</v>
      </c>
      <c r="M193" s="25" t="str">
        <f t="shared" si="20"/>
        <v>\0</v>
      </c>
      <c r="N193" s="23" t="str">
        <f t="shared" si="21"/>
        <v>データなし</v>
      </c>
      <c r="O193" s="24" t="str">
        <f>IF(MID(E193,3,1)=".",
   IF(OR(LEFT(E193,5)=LEFT(E194,5),LEFT(E193,5)=TEXT(E194,"mm.dd")),"",SUM($M$8:M193)-SUM($O$8:O192)),
   IF(OR(TEXT(E193,"mm.dd")=LEFT(E194,5),TEXT(E193,"mm.dd")=TEXT(E194,"mm.dd")),"",SUM($M$8:M193)-SUM($O$8:O192)))</f>
        <v/>
      </c>
    </row>
    <row r="194" spans="2:15" s="6" customFormat="1" ht="13.5" customHeight="1" x14ac:dyDescent="0.25">
      <c r="B194" s="6" t="s">
        <v>15</v>
      </c>
      <c r="C194" s="87" t="str">
        <f t="shared" si="16"/>
        <v/>
      </c>
      <c r="D194" s="2" t="str" cm="1">
        <f t="array" ref="D194">_xll.RssMarket(C194, "銘柄名称")</f>
        <v/>
      </c>
      <c r="E194" s="2" t="str" cm="1">
        <f t="array" ref="E194">_xll.RssMarket(C194, "現在日付")</f>
        <v/>
      </c>
      <c r="F194" s="10" t="str">
        <f t="shared" ca="1" si="17"/>
        <v/>
      </c>
      <c r="G194" s="3"/>
      <c r="H194" s="4"/>
      <c r="I194" s="4"/>
      <c r="J194" s="5">
        <f t="shared" si="18"/>
        <v>0</v>
      </c>
      <c r="K194" s="4"/>
      <c r="L194" s="5">
        <f t="shared" si="19"/>
        <v>0</v>
      </c>
      <c r="M194" s="25" t="str">
        <f t="shared" si="20"/>
        <v>\0</v>
      </c>
      <c r="N194" s="23" t="str">
        <f t="shared" si="21"/>
        <v>データなし</v>
      </c>
      <c r="O194" s="24" t="str">
        <f>IF(MID(E194,3,1)=".",
   IF(OR(LEFT(E194,5)=LEFT(E195,5),LEFT(E194,5)=TEXT(E195,"mm.dd")),"",SUM($M$8:M194)-SUM($O$8:O193)),
   IF(OR(TEXT(E194,"mm.dd")=LEFT(E195,5),TEXT(E194,"mm.dd")=TEXT(E195,"mm.dd")),"",SUM($M$8:M194)-SUM($O$8:O193)))</f>
        <v/>
      </c>
    </row>
    <row r="195" spans="2:15" s="6" customFormat="1" ht="13.5" customHeight="1" x14ac:dyDescent="0.25">
      <c r="B195" s="6" t="s">
        <v>15</v>
      </c>
      <c r="C195" s="87" t="str">
        <f t="shared" si="16"/>
        <v/>
      </c>
      <c r="D195" s="2" t="str" cm="1">
        <f t="array" ref="D195">_xll.RssMarket(C195, "銘柄名称")</f>
        <v/>
      </c>
      <c r="E195" s="2" t="str" cm="1">
        <f t="array" ref="E195">_xll.RssMarket(C195, "現在日付")</f>
        <v/>
      </c>
      <c r="F195" s="10" t="str">
        <f t="shared" ca="1" si="17"/>
        <v/>
      </c>
      <c r="G195" s="3"/>
      <c r="H195" s="4"/>
      <c r="I195" s="4"/>
      <c r="J195" s="5">
        <f t="shared" si="18"/>
        <v>0</v>
      </c>
      <c r="K195" s="4"/>
      <c r="L195" s="5">
        <f t="shared" si="19"/>
        <v>0</v>
      </c>
      <c r="M195" s="25" t="str">
        <f t="shared" si="20"/>
        <v>\0</v>
      </c>
      <c r="N195" s="23" t="str">
        <f t="shared" si="21"/>
        <v>データなし</v>
      </c>
      <c r="O195" s="24" t="str">
        <f>IF(MID(E195,3,1)=".",
   IF(OR(LEFT(E195,5)=LEFT(E196,5),LEFT(E195,5)=TEXT(E196,"mm.dd")),"",SUM($M$8:M195)-SUM($O$8:O194)),
   IF(OR(TEXT(E195,"mm.dd")=LEFT(E196,5),TEXT(E195,"mm.dd")=TEXT(E196,"mm.dd")),"",SUM($M$8:M195)-SUM($O$8:O194)))</f>
        <v/>
      </c>
    </row>
    <row r="196" spans="2:15" s="6" customFormat="1" ht="13.5" customHeight="1" x14ac:dyDescent="0.25">
      <c r="B196" s="6" t="s">
        <v>15</v>
      </c>
      <c r="C196" s="87" t="str">
        <f t="shared" si="16"/>
        <v/>
      </c>
      <c r="D196" s="2" t="str" cm="1">
        <f t="array" ref="D196">_xll.RssMarket(C196, "銘柄名称")</f>
        <v/>
      </c>
      <c r="E196" s="2" t="str" cm="1">
        <f t="array" ref="E196">_xll.RssMarket(C196, "現在日付")</f>
        <v/>
      </c>
      <c r="F196" s="10" t="str">
        <f t="shared" ca="1" si="17"/>
        <v/>
      </c>
      <c r="G196" s="3"/>
      <c r="H196" s="4"/>
      <c r="I196" s="4"/>
      <c r="J196" s="5">
        <f t="shared" si="18"/>
        <v>0</v>
      </c>
      <c r="K196" s="4"/>
      <c r="L196" s="5">
        <f t="shared" si="19"/>
        <v>0</v>
      </c>
      <c r="M196" s="25" t="str">
        <f t="shared" si="20"/>
        <v>\0</v>
      </c>
      <c r="N196" s="23" t="str">
        <f t="shared" si="21"/>
        <v>データなし</v>
      </c>
      <c r="O196" s="24" t="str">
        <f>IF(MID(E196,3,1)=".",
   IF(OR(LEFT(E196,5)=LEFT(E197,5),LEFT(E196,5)=TEXT(E197,"mm.dd")),"",SUM($M$8:M196)-SUM($O$8:O195)),
   IF(OR(TEXT(E196,"mm.dd")=LEFT(E197,5),TEXT(E196,"mm.dd")=TEXT(E197,"mm.dd")),"",SUM($M$8:M196)-SUM($O$8:O195)))</f>
        <v/>
      </c>
    </row>
    <row r="197" spans="2:15" s="6" customFormat="1" ht="13.5" customHeight="1" x14ac:dyDescent="0.25">
      <c r="B197" s="6" t="s">
        <v>15</v>
      </c>
      <c r="C197" s="87" t="str">
        <f t="shared" si="16"/>
        <v/>
      </c>
      <c r="D197" s="2" t="str" cm="1">
        <f t="array" ref="D197">_xll.RssMarket(C197, "銘柄名称")</f>
        <v/>
      </c>
      <c r="E197" s="2" t="str" cm="1">
        <f t="array" ref="E197">_xll.RssMarket(C197, "現在日付")</f>
        <v/>
      </c>
      <c r="F197" s="10" t="str">
        <f t="shared" ca="1" si="17"/>
        <v/>
      </c>
      <c r="G197" s="3"/>
      <c r="H197" s="4"/>
      <c r="I197" s="4"/>
      <c r="J197" s="5">
        <f t="shared" si="18"/>
        <v>0</v>
      </c>
      <c r="K197" s="4"/>
      <c r="L197" s="5">
        <f t="shared" si="19"/>
        <v>0</v>
      </c>
      <c r="M197" s="25" t="str">
        <f t="shared" si="20"/>
        <v>\0</v>
      </c>
      <c r="N197" s="23" t="str">
        <f t="shared" si="21"/>
        <v>データなし</v>
      </c>
      <c r="O197" s="24" t="str">
        <f>IF(MID(E197,3,1)=".",
   IF(OR(LEFT(E197,5)=LEFT(E198,5),LEFT(E197,5)=TEXT(E198,"mm.dd")),"",SUM($M$8:M197)-SUM($O$8:O196)),
   IF(OR(TEXT(E197,"mm.dd")=LEFT(E198,5),TEXT(E197,"mm.dd")=TEXT(E198,"mm.dd")),"",SUM($M$8:M197)-SUM($O$8:O196)))</f>
        <v/>
      </c>
    </row>
    <row r="198" spans="2:15" s="6" customFormat="1" ht="13.5" customHeight="1" x14ac:dyDescent="0.25">
      <c r="B198" s="6" t="s">
        <v>15</v>
      </c>
      <c r="C198" s="87" t="str">
        <f t="shared" si="16"/>
        <v/>
      </c>
      <c r="D198" s="2" t="str" cm="1">
        <f t="array" ref="D198">_xll.RssMarket(C198, "銘柄名称")</f>
        <v/>
      </c>
      <c r="E198" s="2" t="str" cm="1">
        <f t="array" ref="E198">_xll.RssMarket(C198, "現在日付")</f>
        <v/>
      </c>
      <c r="F198" s="10" t="str">
        <f t="shared" ca="1" si="17"/>
        <v/>
      </c>
      <c r="G198" s="3"/>
      <c r="H198" s="4"/>
      <c r="I198" s="4"/>
      <c r="J198" s="5">
        <f t="shared" si="18"/>
        <v>0</v>
      </c>
      <c r="K198" s="4"/>
      <c r="L198" s="5">
        <f t="shared" si="19"/>
        <v>0</v>
      </c>
      <c r="M198" s="25" t="str">
        <f t="shared" si="20"/>
        <v>\0</v>
      </c>
      <c r="N198" s="23" t="str">
        <f t="shared" si="21"/>
        <v>データなし</v>
      </c>
      <c r="O198" s="24" t="str">
        <f>IF(MID(E198,3,1)=".",
   IF(OR(LEFT(E198,5)=LEFT(E199,5),LEFT(E198,5)=TEXT(E199,"mm.dd")),"",SUM($M$8:M198)-SUM($O$8:O197)),
   IF(OR(TEXT(E198,"mm.dd")=LEFT(E199,5),TEXT(E198,"mm.dd")=TEXT(E199,"mm.dd")),"",SUM($M$8:M198)-SUM($O$8:O197)))</f>
        <v/>
      </c>
    </row>
    <row r="199" spans="2:15" s="6" customFormat="1" ht="13.5" customHeight="1" x14ac:dyDescent="0.25">
      <c r="B199" s="6" t="s">
        <v>15</v>
      </c>
      <c r="C199" s="87" t="str">
        <f t="shared" si="16"/>
        <v/>
      </c>
      <c r="D199" s="2" t="str" cm="1">
        <f t="array" ref="D199">_xll.RssMarket(C199, "銘柄名称")</f>
        <v/>
      </c>
      <c r="E199" s="2" t="str" cm="1">
        <f t="array" ref="E199">_xll.RssMarket(C199, "現在日付")</f>
        <v/>
      </c>
      <c r="F199" s="10" t="str">
        <f t="shared" ca="1" si="17"/>
        <v/>
      </c>
      <c r="G199" s="3"/>
      <c r="H199" s="4"/>
      <c r="I199" s="4"/>
      <c r="J199" s="5">
        <f t="shared" si="18"/>
        <v>0</v>
      </c>
      <c r="K199" s="4"/>
      <c r="L199" s="5">
        <f t="shared" si="19"/>
        <v>0</v>
      </c>
      <c r="M199" s="25" t="str">
        <f t="shared" si="20"/>
        <v>\0</v>
      </c>
      <c r="N199" s="23" t="str">
        <f t="shared" si="21"/>
        <v>データなし</v>
      </c>
      <c r="O199" s="24" t="str">
        <f>IF(MID(E199,3,1)=".",
   IF(OR(LEFT(E199,5)=LEFT(E200,5),LEFT(E199,5)=TEXT(E200,"mm.dd")),"",SUM($M$8:M199)-SUM($O$8:O198)),
   IF(OR(TEXT(E199,"mm.dd")=LEFT(E200,5),TEXT(E199,"mm.dd")=TEXT(E200,"mm.dd")),"",SUM($M$8:M199)-SUM($O$8:O198)))</f>
        <v/>
      </c>
    </row>
    <row r="200" spans="2:15" s="6" customFormat="1" ht="13.5" customHeight="1" x14ac:dyDescent="0.25">
      <c r="B200" s="6" t="s">
        <v>15</v>
      </c>
      <c r="C200" s="87" t="str">
        <f t="shared" si="16"/>
        <v/>
      </c>
      <c r="D200" s="2" t="str" cm="1">
        <f t="array" ref="D200">_xll.RssMarket(C200, "銘柄名称")</f>
        <v/>
      </c>
      <c r="E200" s="2" t="str" cm="1">
        <f t="array" ref="E200">_xll.RssMarket(C200, "現在日付")</f>
        <v/>
      </c>
      <c r="F200" s="10" t="str">
        <f t="shared" ca="1" si="17"/>
        <v/>
      </c>
      <c r="G200" s="3"/>
      <c r="H200" s="4"/>
      <c r="I200" s="4"/>
      <c r="J200" s="5">
        <f t="shared" si="18"/>
        <v>0</v>
      </c>
      <c r="K200" s="4"/>
      <c r="L200" s="5">
        <f t="shared" si="19"/>
        <v>0</v>
      </c>
      <c r="M200" s="25" t="str">
        <f t="shared" si="20"/>
        <v>\0</v>
      </c>
      <c r="N200" s="23" t="str">
        <f t="shared" si="21"/>
        <v>データなし</v>
      </c>
      <c r="O200" s="24" t="str">
        <f>IF(MID(E200,3,1)=".",
   IF(OR(LEFT(E200,5)=LEFT(E201,5),LEFT(E200,5)=TEXT(E201,"mm.dd")),"",SUM($M$8:M200)-SUM($O$8:O199)),
   IF(OR(TEXT(E200,"mm.dd")=LEFT(E201,5),TEXT(E200,"mm.dd")=TEXT(E201,"mm.dd")),"",SUM($M$8:M200)-SUM($O$8:O199)))</f>
        <v/>
      </c>
    </row>
    <row r="201" spans="2:15" s="6" customFormat="1" ht="13.5" customHeight="1" x14ac:dyDescent="0.25">
      <c r="B201" s="6" t="s">
        <v>15</v>
      </c>
      <c r="C201" s="87" t="str">
        <f t="shared" si="16"/>
        <v/>
      </c>
      <c r="D201" s="2" t="str" cm="1">
        <f t="array" ref="D201">_xll.RssMarket(C201, "銘柄名称")</f>
        <v/>
      </c>
      <c r="E201" s="2" t="str" cm="1">
        <f t="array" ref="E201">_xll.RssMarket(C201, "現在日付")</f>
        <v/>
      </c>
      <c r="F201" s="10" t="str">
        <f t="shared" ca="1" si="17"/>
        <v/>
      </c>
      <c r="G201" s="3"/>
      <c r="H201" s="4"/>
      <c r="I201" s="4"/>
      <c r="J201" s="5">
        <f t="shared" si="18"/>
        <v>0</v>
      </c>
      <c r="K201" s="4"/>
      <c r="L201" s="5">
        <f t="shared" si="19"/>
        <v>0</v>
      </c>
      <c r="M201" s="25" t="str">
        <f t="shared" si="20"/>
        <v>\0</v>
      </c>
      <c r="N201" s="23" t="str">
        <f t="shared" si="21"/>
        <v>データなし</v>
      </c>
      <c r="O201" s="24" t="str">
        <f>IF(MID(E201,3,1)=".",
   IF(OR(LEFT(E201,5)=LEFT(E202,5),LEFT(E201,5)=TEXT(E202,"mm.dd")),"",SUM($M$8:M201)-SUM($O$8:O200)),
   IF(OR(TEXT(E201,"mm.dd")=LEFT(E202,5),TEXT(E201,"mm.dd")=TEXT(E202,"mm.dd")),"",SUM($M$8:M201)-SUM($O$8:O200)))</f>
        <v/>
      </c>
    </row>
    <row r="202" spans="2:15" s="6" customFormat="1" ht="13.5" customHeight="1" x14ac:dyDescent="0.25">
      <c r="B202" s="6" t="s">
        <v>15</v>
      </c>
      <c r="C202" s="87" t="str">
        <f t="shared" si="16"/>
        <v/>
      </c>
      <c r="D202" s="2" t="str" cm="1">
        <f t="array" ref="D202">_xll.RssMarket(C202, "銘柄名称")</f>
        <v/>
      </c>
      <c r="E202" s="2" t="str" cm="1">
        <f t="array" ref="E202">_xll.RssMarket(C202, "現在日付")</f>
        <v/>
      </c>
      <c r="F202" s="10" t="str">
        <f t="shared" ca="1" si="17"/>
        <v/>
      </c>
      <c r="G202" s="3"/>
      <c r="H202" s="4"/>
      <c r="I202" s="4"/>
      <c r="J202" s="5">
        <f t="shared" si="18"/>
        <v>0</v>
      </c>
      <c r="K202" s="4"/>
      <c r="L202" s="5">
        <f t="shared" si="19"/>
        <v>0</v>
      </c>
      <c r="M202" s="25" t="str">
        <f t="shared" si="20"/>
        <v>\0</v>
      </c>
      <c r="N202" s="23" t="str">
        <f t="shared" si="21"/>
        <v>データなし</v>
      </c>
      <c r="O202" s="24" t="str">
        <f>IF(MID(E202,3,1)=".",
   IF(OR(LEFT(E202,5)=LEFT(E203,5),LEFT(E202,5)=TEXT(E203,"mm.dd")),"",SUM($M$8:M202)-SUM($O$8:O201)),
   IF(OR(TEXT(E202,"mm.dd")=LEFT(E203,5),TEXT(E202,"mm.dd")=TEXT(E203,"mm.dd")),"",SUM($M$8:M202)-SUM($O$8:O201)))</f>
        <v/>
      </c>
    </row>
    <row r="203" spans="2:15" s="6" customFormat="1" ht="13.5" customHeight="1" x14ac:dyDescent="0.25">
      <c r="B203" s="6" t="s">
        <v>15</v>
      </c>
      <c r="C203" s="87" t="str">
        <f t="shared" si="16"/>
        <v/>
      </c>
      <c r="D203" s="2" t="str" cm="1">
        <f t="array" ref="D203">_xll.RssMarket(C203, "銘柄名称")</f>
        <v/>
      </c>
      <c r="E203" s="2" t="str" cm="1">
        <f t="array" ref="E203">_xll.RssMarket(C203, "現在日付")</f>
        <v/>
      </c>
      <c r="F203" s="10" t="str">
        <f t="shared" ca="1" si="17"/>
        <v/>
      </c>
      <c r="G203" s="3"/>
      <c r="H203" s="4"/>
      <c r="I203" s="4"/>
      <c r="J203" s="5">
        <f t="shared" si="18"/>
        <v>0</v>
      </c>
      <c r="K203" s="4"/>
      <c r="L203" s="5">
        <f t="shared" si="19"/>
        <v>0</v>
      </c>
      <c r="M203" s="25" t="str">
        <f t="shared" si="20"/>
        <v>\0</v>
      </c>
      <c r="N203" s="23" t="str">
        <f t="shared" si="21"/>
        <v>データなし</v>
      </c>
      <c r="O203" s="24" t="str">
        <f>IF(MID(E203,3,1)=".",
   IF(OR(LEFT(E203,5)=LEFT(E204,5),LEFT(E203,5)=TEXT(E204,"mm.dd")),"",SUM($M$8:M203)-SUM($O$8:O202)),
   IF(OR(TEXT(E203,"mm.dd")=LEFT(E204,5),TEXT(E203,"mm.dd")=TEXT(E204,"mm.dd")),"",SUM($M$8:M203)-SUM($O$8:O202)))</f>
        <v/>
      </c>
    </row>
    <row r="204" spans="2:15" s="6" customFormat="1" ht="13.5" customHeight="1" x14ac:dyDescent="0.25">
      <c r="B204" s="6" t="s">
        <v>15</v>
      </c>
      <c r="C204" s="87" t="str">
        <f t="shared" si="16"/>
        <v/>
      </c>
      <c r="D204" s="2" t="str" cm="1">
        <f t="array" ref="D204">_xll.RssMarket(C204, "銘柄名称")</f>
        <v/>
      </c>
      <c r="E204" s="2" t="str" cm="1">
        <f t="array" ref="E204">_xll.RssMarket(C204, "現在日付")</f>
        <v/>
      </c>
      <c r="F204" s="10" t="str">
        <f t="shared" ca="1" si="17"/>
        <v/>
      </c>
      <c r="G204" s="3"/>
      <c r="H204" s="4"/>
      <c r="I204" s="4"/>
      <c r="J204" s="5">
        <f t="shared" si="18"/>
        <v>0</v>
      </c>
      <c r="K204" s="4"/>
      <c r="L204" s="5">
        <f t="shared" si="19"/>
        <v>0</v>
      </c>
      <c r="M204" s="25" t="str">
        <f t="shared" si="20"/>
        <v>\0</v>
      </c>
      <c r="N204" s="23" t="str">
        <f t="shared" si="21"/>
        <v>データなし</v>
      </c>
      <c r="O204" s="24" t="str">
        <f>IF(MID(E204,3,1)=".",
   IF(OR(LEFT(E204,5)=LEFT(E205,5),LEFT(E204,5)=TEXT(E205,"mm.dd")),"",SUM($M$8:M204)-SUM($O$8:O203)),
   IF(OR(TEXT(E204,"mm.dd")=LEFT(E205,5),TEXT(E204,"mm.dd")=TEXT(E205,"mm.dd")),"",SUM($M$8:M204)-SUM($O$8:O203)))</f>
        <v/>
      </c>
    </row>
    <row r="205" spans="2:15" s="6" customFormat="1" ht="13.5" customHeight="1" x14ac:dyDescent="0.25">
      <c r="B205" s="6" t="s">
        <v>15</v>
      </c>
      <c r="C205" s="87" t="str">
        <f t="shared" si="16"/>
        <v/>
      </c>
      <c r="D205" s="2" t="str" cm="1">
        <f t="array" ref="D205">_xll.RssMarket(C205, "銘柄名称")</f>
        <v/>
      </c>
      <c r="E205" s="2" t="str" cm="1">
        <f t="array" ref="E205">_xll.RssMarket(C205, "現在日付")</f>
        <v/>
      </c>
      <c r="F205" s="10" t="str">
        <f t="shared" ca="1" si="17"/>
        <v/>
      </c>
      <c r="G205" s="3"/>
      <c r="H205" s="4"/>
      <c r="I205" s="4"/>
      <c r="J205" s="5">
        <f t="shared" si="18"/>
        <v>0</v>
      </c>
      <c r="K205" s="4"/>
      <c r="L205" s="5">
        <f t="shared" si="19"/>
        <v>0</v>
      </c>
      <c r="M205" s="25" t="str">
        <f t="shared" si="20"/>
        <v>\0</v>
      </c>
      <c r="N205" s="23" t="str">
        <f t="shared" si="21"/>
        <v>データなし</v>
      </c>
      <c r="O205" s="24" t="str">
        <f>IF(MID(E205,3,1)=".",
   IF(OR(LEFT(E205,5)=LEFT(E206,5),LEFT(E205,5)=TEXT(E206,"mm.dd")),"",SUM($M$8:M205)-SUM($O$8:O204)),
   IF(OR(TEXT(E205,"mm.dd")=LEFT(E206,5),TEXT(E205,"mm.dd")=TEXT(E206,"mm.dd")),"",SUM($M$8:M205)-SUM($O$8:O204)))</f>
        <v/>
      </c>
    </row>
    <row r="206" spans="2:15" s="6" customFormat="1" ht="13.5" customHeight="1" x14ac:dyDescent="0.25">
      <c r="B206" s="6" t="s">
        <v>15</v>
      </c>
      <c r="C206" s="87" t="str">
        <f t="shared" si="16"/>
        <v/>
      </c>
      <c r="D206" s="2" t="str" cm="1">
        <f t="array" ref="D206">_xll.RssMarket(C206, "銘柄名称")</f>
        <v/>
      </c>
      <c r="E206" s="2" t="str" cm="1">
        <f t="array" ref="E206">_xll.RssMarket(C206, "現在日付")</f>
        <v/>
      </c>
      <c r="F206" s="10" t="str">
        <f t="shared" ca="1" si="17"/>
        <v/>
      </c>
      <c r="G206" s="3"/>
      <c r="H206" s="4"/>
      <c r="I206" s="4"/>
      <c r="J206" s="5">
        <f t="shared" si="18"/>
        <v>0</v>
      </c>
      <c r="K206" s="4"/>
      <c r="L206" s="5">
        <f t="shared" si="19"/>
        <v>0</v>
      </c>
      <c r="M206" s="25" t="str">
        <f t="shared" si="20"/>
        <v>\0</v>
      </c>
      <c r="N206" s="23" t="str">
        <f t="shared" si="21"/>
        <v>データなし</v>
      </c>
      <c r="O206" s="24" t="str">
        <f>IF(MID(E206,3,1)=".",
   IF(OR(LEFT(E206,5)=LEFT(E207,5),LEFT(E206,5)=TEXT(E207,"mm.dd")),"",SUM($M$8:M206)-SUM($O$8:O205)),
   IF(OR(TEXT(E206,"mm.dd")=LEFT(E207,5),TEXT(E206,"mm.dd")=TEXT(E207,"mm.dd")),"",SUM($M$8:M206)-SUM($O$8:O205)))</f>
        <v/>
      </c>
    </row>
    <row r="207" spans="2:15" s="6" customFormat="1" ht="13.5" customHeight="1" x14ac:dyDescent="0.25">
      <c r="B207" s="6" t="s">
        <v>15</v>
      </c>
      <c r="C207" s="87" t="str">
        <f t="shared" si="16"/>
        <v/>
      </c>
      <c r="D207" s="2" t="str" cm="1">
        <f t="array" ref="D207">_xll.RssMarket(C207, "銘柄名称")</f>
        <v/>
      </c>
      <c r="E207" s="2" t="str" cm="1">
        <f t="array" ref="E207">_xll.RssMarket(C207, "現在日付")</f>
        <v/>
      </c>
      <c r="F207" s="10" t="str">
        <f t="shared" ca="1" si="17"/>
        <v/>
      </c>
      <c r="G207" s="3"/>
      <c r="H207" s="4"/>
      <c r="I207" s="4"/>
      <c r="J207" s="5">
        <f t="shared" si="18"/>
        <v>0</v>
      </c>
      <c r="K207" s="4"/>
      <c r="L207" s="5">
        <f t="shared" si="19"/>
        <v>0</v>
      </c>
      <c r="M207" s="25" t="str">
        <f t="shared" si="20"/>
        <v>\0</v>
      </c>
      <c r="N207" s="23" t="str">
        <f t="shared" si="21"/>
        <v>データなし</v>
      </c>
      <c r="O207" s="24" t="str">
        <f>IF(MID(E207,3,1)=".",
   IF(OR(LEFT(E207,5)=LEFT(E208,5),LEFT(E207,5)=TEXT(E208,"mm.dd")),"",SUM($M$8:M207)-SUM($O$8:O206)),
   IF(OR(TEXT(E207,"mm.dd")=LEFT(E208,5),TEXT(E207,"mm.dd")=TEXT(E208,"mm.dd")),"",SUM($M$8:M207)-SUM($O$8:O206)))</f>
        <v/>
      </c>
    </row>
    <row r="208" spans="2:15" s="6" customFormat="1" ht="13.5" customHeight="1" x14ac:dyDescent="0.25">
      <c r="B208" s="6" t="s">
        <v>15</v>
      </c>
      <c r="C208" s="87" t="str">
        <f t="shared" si="16"/>
        <v/>
      </c>
      <c r="D208" s="2" t="str" cm="1">
        <f t="array" ref="D208">_xll.RssMarket(C208, "銘柄名称")</f>
        <v/>
      </c>
      <c r="E208" s="2" t="str" cm="1">
        <f t="array" ref="E208">_xll.RssMarket(C208, "現在日付")</f>
        <v/>
      </c>
      <c r="F208" s="10" t="str">
        <f t="shared" ca="1" si="17"/>
        <v/>
      </c>
      <c r="G208" s="3"/>
      <c r="H208" s="4"/>
      <c r="I208" s="4"/>
      <c r="J208" s="5">
        <f t="shared" si="18"/>
        <v>0</v>
      </c>
      <c r="K208" s="4"/>
      <c r="L208" s="5">
        <f t="shared" si="19"/>
        <v>0</v>
      </c>
      <c r="M208" s="25" t="str">
        <f t="shared" si="20"/>
        <v>\0</v>
      </c>
      <c r="N208" s="23" t="str">
        <f t="shared" si="21"/>
        <v>データなし</v>
      </c>
      <c r="O208" s="24" t="str">
        <f>IF(MID(E208,3,1)=".",
   IF(OR(LEFT(E208,5)=LEFT(E209,5),LEFT(E208,5)=TEXT(E209,"mm.dd")),"",SUM($M$8:M208)-SUM($O$8:O207)),
   IF(OR(TEXT(E208,"mm.dd")=LEFT(E209,5),TEXT(E208,"mm.dd")=TEXT(E209,"mm.dd")),"",SUM($M$8:M208)-SUM($O$8:O207)))</f>
        <v/>
      </c>
    </row>
    <row r="209" spans="2:15" s="6" customFormat="1" ht="13.5" customHeight="1" x14ac:dyDescent="0.25">
      <c r="B209" s="6" t="s">
        <v>15</v>
      </c>
      <c r="C209" s="87" t="str">
        <f t="shared" si="16"/>
        <v/>
      </c>
      <c r="D209" s="2" t="str" cm="1">
        <f t="array" ref="D209">_xll.RssMarket(C209, "銘柄名称")</f>
        <v/>
      </c>
      <c r="E209" s="2" t="str" cm="1">
        <f t="array" ref="E209">_xll.RssMarket(C209, "現在日付")</f>
        <v/>
      </c>
      <c r="F209" s="10" t="str">
        <f t="shared" ca="1" si="17"/>
        <v/>
      </c>
      <c r="G209" s="3"/>
      <c r="H209" s="4"/>
      <c r="I209" s="4"/>
      <c r="J209" s="5">
        <f t="shared" si="18"/>
        <v>0</v>
      </c>
      <c r="K209" s="4"/>
      <c r="L209" s="5">
        <f t="shared" si="19"/>
        <v>0</v>
      </c>
      <c r="M209" s="25" t="str">
        <f t="shared" si="20"/>
        <v>\0</v>
      </c>
      <c r="N209" s="23" t="str">
        <f t="shared" si="21"/>
        <v>データなし</v>
      </c>
      <c r="O209" s="24" t="str">
        <f>IF(MID(E209,3,1)=".",
   IF(OR(LEFT(E209,5)=LEFT(E210,5),LEFT(E209,5)=TEXT(E210,"mm.dd")),"",SUM($M$8:M209)-SUM($O$8:O208)),
   IF(OR(TEXT(E209,"mm.dd")=LEFT(E210,5),TEXT(E209,"mm.dd")=TEXT(E210,"mm.dd")),"",SUM($M$8:M209)-SUM($O$8:O208)))</f>
        <v/>
      </c>
    </row>
    <row r="210" spans="2:15" s="6" customFormat="1" ht="13.5" customHeight="1" x14ac:dyDescent="0.25">
      <c r="B210" s="6" t="s">
        <v>15</v>
      </c>
      <c r="C210" s="87" t="str">
        <f t="shared" si="16"/>
        <v/>
      </c>
      <c r="D210" s="2" t="str" cm="1">
        <f t="array" ref="D210">_xll.RssMarket(C210, "銘柄名称")</f>
        <v/>
      </c>
      <c r="E210" s="2" t="str" cm="1">
        <f t="array" ref="E210">_xll.RssMarket(C210, "現在日付")</f>
        <v/>
      </c>
      <c r="F210" s="10" t="str">
        <f t="shared" ca="1" si="17"/>
        <v/>
      </c>
      <c r="G210" s="3"/>
      <c r="H210" s="4"/>
      <c r="I210" s="4"/>
      <c r="J210" s="5">
        <f t="shared" si="18"/>
        <v>0</v>
      </c>
      <c r="K210" s="4"/>
      <c r="L210" s="5">
        <f t="shared" si="19"/>
        <v>0</v>
      </c>
      <c r="M210" s="25" t="str">
        <f t="shared" si="20"/>
        <v>\0</v>
      </c>
      <c r="N210" s="23" t="str">
        <f t="shared" si="21"/>
        <v>データなし</v>
      </c>
      <c r="O210" s="24" t="str">
        <f>IF(MID(E210,3,1)=".",
   IF(OR(LEFT(E210,5)=LEFT(E211,5),LEFT(E210,5)=TEXT(E211,"mm.dd")),"",SUM($M$8:M210)-SUM($O$8:O209)),
   IF(OR(TEXT(E210,"mm.dd")=LEFT(E211,5),TEXT(E210,"mm.dd")=TEXT(E211,"mm.dd")),"",SUM($M$8:M210)-SUM($O$8:O209)))</f>
        <v/>
      </c>
    </row>
    <row r="211" spans="2:15" s="6" customFormat="1" ht="13.5" customHeight="1" x14ac:dyDescent="0.25">
      <c r="B211" s="6" t="s">
        <v>15</v>
      </c>
      <c r="C211" s="87" t="str">
        <f t="shared" si="16"/>
        <v/>
      </c>
      <c r="D211" s="2" t="str" cm="1">
        <f t="array" ref="D211">_xll.RssMarket(C211, "銘柄名称")</f>
        <v/>
      </c>
      <c r="E211" s="2" t="str" cm="1">
        <f t="array" ref="E211">_xll.RssMarket(C211, "現在日付")</f>
        <v/>
      </c>
      <c r="F211" s="10" t="str">
        <f t="shared" ca="1" si="17"/>
        <v/>
      </c>
      <c r="G211" s="3"/>
      <c r="H211" s="4"/>
      <c r="I211" s="4"/>
      <c r="J211" s="5">
        <f t="shared" si="18"/>
        <v>0</v>
      </c>
      <c r="K211" s="4"/>
      <c r="L211" s="5">
        <f t="shared" si="19"/>
        <v>0</v>
      </c>
      <c r="M211" s="25" t="str">
        <f t="shared" si="20"/>
        <v>\0</v>
      </c>
      <c r="N211" s="23" t="str">
        <f t="shared" si="21"/>
        <v>データなし</v>
      </c>
      <c r="O211" s="24" t="str">
        <f>IF(MID(E211,3,1)=".",
   IF(OR(LEFT(E211,5)=LEFT(E212,5),LEFT(E211,5)=TEXT(E212,"mm.dd")),"",SUM($M$8:M211)-SUM($O$8:O210)),
   IF(OR(TEXT(E211,"mm.dd")=LEFT(E212,5),TEXT(E211,"mm.dd")=TEXT(E212,"mm.dd")),"",SUM($M$8:M211)-SUM($O$8:O210)))</f>
        <v/>
      </c>
    </row>
    <row r="212" spans="2:15" s="6" customFormat="1" ht="13.5" customHeight="1" x14ac:dyDescent="0.25">
      <c r="B212" s="6" t="s">
        <v>15</v>
      </c>
      <c r="C212" s="87" t="str">
        <f t="shared" si="16"/>
        <v/>
      </c>
      <c r="D212" s="2" t="str" cm="1">
        <f t="array" ref="D212">_xll.RssMarket(C212, "銘柄名称")</f>
        <v/>
      </c>
      <c r="E212" s="2" t="str" cm="1">
        <f t="array" ref="E212">_xll.RssMarket(C212, "現在日付")</f>
        <v/>
      </c>
      <c r="F212" s="10" t="str">
        <f t="shared" ca="1" si="17"/>
        <v/>
      </c>
      <c r="G212" s="3"/>
      <c r="H212" s="4"/>
      <c r="I212" s="4"/>
      <c r="J212" s="5">
        <f t="shared" si="18"/>
        <v>0</v>
      </c>
      <c r="K212" s="4"/>
      <c r="L212" s="5">
        <f t="shared" si="19"/>
        <v>0</v>
      </c>
      <c r="M212" s="25" t="str">
        <f t="shared" si="20"/>
        <v>\0</v>
      </c>
      <c r="N212" s="23" t="str">
        <f t="shared" si="21"/>
        <v>データなし</v>
      </c>
      <c r="O212" s="24" t="str">
        <f>IF(MID(E212,3,1)=".",
   IF(OR(LEFT(E212,5)=LEFT(E213,5),LEFT(E212,5)=TEXT(E213,"mm.dd")),"",SUM($M$8:M212)-SUM($O$8:O211)),
   IF(OR(TEXT(E212,"mm.dd")=LEFT(E213,5),TEXT(E212,"mm.dd")=TEXT(E213,"mm.dd")),"",SUM($M$8:M212)-SUM($O$8:O211)))</f>
        <v/>
      </c>
    </row>
    <row r="213" spans="2:15" s="6" customFormat="1" ht="13.5" customHeight="1" x14ac:dyDescent="0.25">
      <c r="B213" s="6" t="s">
        <v>15</v>
      </c>
      <c r="C213" s="87" t="str">
        <f t="shared" si="16"/>
        <v/>
      </c>
      <c r="D213" s="2" t="str" cm="1">
        <f t="array" ref="D213">_xll.RssMarket(C213, "銘柄名称")</f>
        <v/>
      </c>
      <c r="E213" s="2" t="str" cm="1">
        <f t="array" ref="E213">_xll.RssMarket(C213, "現在日付")</f>
        <v/>
      </c>
      <c r="F213" s="10" t="str">
        <f t="shared" ca="1" si="17"/>
        <v/>
      </c>
      <c r="G213" s="3"/>
      <c r="H213" s="4"/>
      <c r="I213" s="4"/>
      <c r="J213" s="5">
        <f t="shared" si="18"/>
        <v>0</v>
      </c>
      <c r="K213" s="4"/>
      <c r="L213" s="5">
        <f t="shared" si="19"/>
        <v>0</v>
      </c>
      <c r="M213" s="25" t="str">
        <f t="shared" si="20"/>
        <v>\0</v>
      </c>
      <c r="N213" s="23" t="str">
        <f t="shared" si="21"/>
        <v>データなし</v>
      </c>
      <c r="O213" s="24" t="str">
        <f>IF(MID(E213,3,1)=".",
   IF(OR(LEFT(E213,5)=LEFT(E214,5),LEFT(E213,5)=TEXT(E214,"mm.dd")),"",SUM($M$8:M213)-SUM($O$8:O212)),
   IF(OR(TEXT(E213,"mm.dd")=LEFT(E214,5),TEXT(E213,"mm.dd")=TEXT(E214,"mm.dd")),"",SUM($M$8:M213)-SUM($O$8:O212)))</f>
        <v/>
      </c>
    </row>
    <row r="214" spans="2:15" s="6" customFormat="1" ht="13.5" customHeight="1" x14ac:dyDescent="0.25">
      <c r="B214" s="6" t="s">
        <v>15</v>
      </c>
      <c r="C214" s="87" t="str">
        <f t="shared" si="16"/>
        <v/>
      </c>
      <c r="D214" s="2" t="str" cm="1">
        <f t="array" ref="D214">_xll.RssMarket(C214, "銘柄名称")</f>
        <v/>
      </c>
      <c r="E214" s="2" t="str" cm="1">
        <f t="array" ref="E214">_xll.RssMarket(C214, "現在日付")</f>
        <v/>
      </c>
      <c r="F214" s="10" t="str">
        <f t="shared" ca="1" si="17"/>
        <v/>
      </c>
      <c r="G214" s="3"/>
      <c r="H214" s="4"/>
      <c r="I214" s="4"/>
      <c r="J214" s="5">
        <f t="shared" si="18"/>
        <v>0</v>
      </c>
      <c r="K214" s="4"/>
      <c r="L214" s="5">
        <f t="shared" si="19"/>
        <v>0</v>
      </c>
      <c r="M214" s="25" t="str">
        <f t="shared" si="20"/>
        <v>\0</v>
      </c>
      <c r="N214" s="23" t="str">
        <f t="shared" si="21"/>
        <v>データなし</v>
      </c>
      <c r="O214" s="24" t="str">
        <f>IF(MID(E214,3,1)=".",
   IF(OR(LEFT(E214,5)=LEFT(E215,5),LEFT(E214,5)=TEXT(E215,"mm.dd")),"",SUM($M$8:M214)-SUM($O$8:O213)),
   IF(OR(TEXT(E214,"mm.dd")=LEFT(E215,5),TEXT(E214,"mm.dd")=TEXT(E215,"mm.dd")),"",SUM($M$8:M214)-SUM($O$8:O213)))</f>
        <v/>
      </c>
    </row>
    <row r="215" spans="2:15" s="6" customFormat="1" ht="13.5" customHeight="1" x14ac:dyDescent="0.25">
      <c r="B215" s="6" t="s">
        <v>15</v>
      </c>
      <c r="C215" s="87" t="str">
        <f t="shared" si="16"/>
        <v/>
      </c>
      <c r="D215" s="2" t="str" cm="1">
        <f t="array" ref="D215">_xll.RssMarket(C215, "銘柄名称")</f>
        <v/>
      </c>
      <c r="E215" s="2" t="str" cm="1">
        <f t="array" ref="E215">_xll.RssMarket(C215, "現在日付")</f>
        <v/>
      </c>
      <c r="F215" s="10" t="str">
        <f t="shared" ca="1" si="17"/>
        <v/>
      </c>
      <c r="G215" s="3"/>
      <c r="H215" s="4"/>
      <c r="I215" s="4"/>
      <c r="J215" s="5">
        <f t="shared" si="18"/>
        <v>0</v>
      </c>
      <c r="K215" s="4"/>
      <c r="L215" s="5">
        <f t="shared" si="19"/>
        <v>0</v>
      </c>
      <c r="M215" s="25" t="str">
        <f t="shared" si="20"/>
        <v>\0</v>
      </c>
      <c r="N215" s="23" t="str">
        <f t="shared" si="21"/>
        <v>データなし</v>
      </c>
      <c r="O215" s="24" t="str">
        <f>IF(MID(E215,3,1)=".",
   IF(OR(LEFT(E215,5)=LEFT(E216,5),LEFT(E215,5)=TEXT(E216,"mm.dd")),"",SUM($M$8:M215)-SUM($O$8:O214)),
   IF(OR(TEXT(E215,"mm.dd")=LEFT(E216,5),TEXT(E215,"mm.dd")=TEXT(E216,"mm.dd")),"",SUM($M$8:M215)-SUM($O$8:O214)))</f>
        <v/>
      </c>
    </row>
    <row r="216" spans="2:15" s="6" customFormat="1" ht="13.5" customHeight="1" x14ac:dyDescent="0.25">
      <c r="B216" s="6" t="s">
        <v>15</v>
      </c>
      <c r="C216" s="87" t="str">
        <f t="shared" si="16"/>
        <v/>
      </c>
      <c r="D216" s="2" t="str" cm="1">
        <f t="array" ref="D216">_xll.RssMarket(C216, "銘柄名称")</f>
        <v/>
      </c>
      <c r="E216" s="2" t="str" cm="1">
        <f t="array" ref="E216">_xll.RssMarket(C216, "現在日付")</f>
        <v/>
      </c>
      <c r="F216" s="10" t="str">
        <f t="shared" ca="1" si="17"/>
        <v/>
      </c>
      <c r="G216" s="3"/>
      <c r="H216" s="4"/>
      <c r="I216" s="4"/>
      <c r="J216" s="5">
        <f t="shared" si="18"/>
        <v>0</v>
      </c>
      <c r="K216" s="4"/>
      <c r="L216" s="5">
        <f t="shared" si="19"/>
        <v>0</v>
      </c>
      <c r="M216" s="25" t="str">
        <f t="shared" si="20"/>
        <v>\0</v>
      </c>
      <c r="N216" s="23" t="str">
        <f t="shared" si="21"/>
        <v>データなし</v>
      </c>
      <c r="O216" s="24" t="str">
        <f>IF(MID(E216,3,1)=".",
   IF(OR(LEFT(E216,5)=LEFT(E217,5),LEFT(E216,5)=TEXT(E217,"mm.dd")),"",SUM($M$8:M216)-SUM($O$8:O215)),
   IF(OR(TEXT(E216,"mm.dd")=LEFT(E217,5),TEXT(E216,"mm.dd")=TEXT(E217,"mm.dd")),"",SUM($M$8:M216)-SUM($O$8:O215)))</f>
        <v/>
      </c>
    </row>
    <row r="217" spans="2:15" s="6" customFormat="1" ht="13.5" customHeight="1" x14ac:dyDescent="0.25">
      <c r="B217" s="6" t="s">
        <v>15</v>
      </c>
      <c r="C217" s="87" t="str">
        <f t="shared" si="16"/>
        <v/>
      </c>
      <c r="D217" s="2" t="str" cm="1">
        <f t="array" ref="D217">_xll.RssMarket(C217, "銘柄名称")</f>
        <v/>
      </c>
      <c r="E217" s="2" t="str" cm="1">
        <f t="array" ref="E217">_xll.RssMarket(C217, "現在日付")</f>
        <v/>
      </c>
      <c r="F217" s="10" t="str">
        <f t="shared" ca="1" si="17"/>
        <v/>
      </c>
      <c r="G217" s="3"/>
      <c r="H217" s="4"/>
      <c r="I217" s="4"/>
      <c r="J217" s="5">
        <f t="shared" si="18"/>
        <v>0</v>
      </c>
      <c r="K217" s="4"/>
      <c r="L217" s="5">
        <f t="shared" si="19"/>
        <v>0</v>
      </c>
      <c r="M217" s="25" t="str">
        <f t="shared" si="20"/>
        <v>\0</v>
      </c>
      <c r="N217" s="23" t="str">
        <f t="shared" si="21"/>
        <v>データなし</v>
      </c>
      <c r="O217" s="24" t="str">
        <f>IF(MID(E217,3,1)=".",
   IF(OR(LEFT(E217,5)=LEFT(E218,5),LEFT(E217,5)=TEXT(E218,"mm.dd")),"",SUM($M$8:M217)-SUM($O$8:O216)),
   IF(OR(TEXT(E217,"mm.dd")=LEFT(E218,5),TEXT(E217,"mm.dd")=TEXT(E218,"mm.dd")),"",SUM($M$8:M217)-SUM($O$8:O216)))</f>
        <v/>
      </c>
    </row>
    <row r="218" spans="2:15" s="6" customFormat="1" ht="13.5" customHeight="1" x14ac:dyDescent="0.25">
      <c r="B218" s="6" t="s">
        <v>15</v>
      </c>
      <c r="C218" s="87" t="str">
        <f t="shared" si="16"/>
        <v/>
      </c>
      <c r="D218" s="2" t="str" cm="1">
        <f t="array" ref="D218">_xll.RssMarket(C218, "銘柄名称")</f>
        <v/>
      </c>
      <c r="E218" s="2" t="str" cm="1">
        <f t="array" ref="E218">_xll.RssMarket(C218, "現在日付")</f>
        <v/>
      </c>
      <c r="F218" s="10" t="str">
        <f t="shared" ca="1" si="17"/>
        <v/>
      </c>
      <c r="G218" s="3"/>
      <c r="H218" s="4"/>
      <c r="I218" s="4"/>
      <c r="J218" s="5">
        <f t="shared" si="18"/>
        <v>0</v>
      </c>
      <c r="K218" s="4"/>
      <c r="L218" s="5">
        <f t="shared" si="19"/>
        <v>0</v>
      </c>
      <c r="M218" s="25" t="str">
        <f t="shared" si="20"/>
        <v>\0</v>
      </c>
      <c r="N218" s="23" t="str">
        <f t="shared" si="21"/>
        <v>データなし</v>
      </c>
      <c r="O218" s="24" t="str">
        <f>IF(MID(E218,3,1)=".",
   IF(OR(LEFT(E218,5)=LEFT(E219,5),LEFT(E218,5)=TEXT(E219,"mm.dd")),"",SUM($M$8:M218)-SUM($O$8:O217)),
   IF(OR(TEXT(E218,"mm.dd")=LEFT(E219,5),TEXT(E218,"mm.dd")=TEXT(E219,"mm.dd")),"",SUM($M$8:M218)-SUM($O$8:O217)))</f>
        <v/>
      </c>
    </row>
    <row r="219" spans="2:15" s="6" customFormat="1" ht="13.5" customHeight="1" x14ac:dyDescent="0.25">
      <c r="B219" s="6" t="s">
        <v>15</v>
      </c>
      <c r="C219" s="87" t="str">
        <f t="shared" si="16"/>
        <v/>
      </c>
      <c r="D219" s="2" t="str" cm="1">
        <f t="array" ref="D219">_xll.RssMarket(C219, "銘柄名称")</f>
        <v/>
      </c>
      <c r="E219" s="2" t="str" cm="1">
        <f t="array" ref="E219">_xll.RssMarket(C219, "現在日付")</f>
        <v/>
      </c>
      <c r="F219" s="10" t="str">
        <f t="shared" ca="1" si="17"/>
        <v/>
      </c>
      <c r="G219" s="3"/>
      <c r="H219" s="4"/>
      <c r="I219" s="4"/>
      <c r="J219" s="5">
        <f t="shared" si="18"/>
        <v>0</v>
      </c>
      <c r="K219" s="4"/>
      <c r="L219" s="5">
        <f t="shared" si="19"/>
        <v>0</v>
      </c>
      <c r="M219" s="25" t="str">
        <f t="shared" si="20"/>
        <v>\0</v>
      </c>
      <c r="N219" s="23" t="str">
        <f t="shared" si="21"/>
        <v>データなし</v>
      </c>
      <c r="O219" s="24" t="str">
        <f>IF(MID(E219,3,1)=".",
   IF(OR(LEFT(E219,5)=LEFT(E220,5),LEFT(E219,5)=TEXT(E220,"mm.dd")),"",SUM($M$8:M219)-SUM($O$8:O218)),
   IF(OR(TEXT(E219,"mm.dd")=LEFT(E220,5),TEXT(E219,"mm.dd")=TEXT(E220,"mm.dd")),"",SUM($M$8:M219)-SUM($O$8:O218)))</f>
        <v/>
      </c>
    </row>
    <row r="220" spans="2:15" s="6" customFormat="1" ht="13.5" customHeight="1" x14ac:dyDescent="0.25">
      <c r="B220" s="6" t="s">
        <v>15</v>
      </c>
      <c r="C220" s="87" t="str">
        <f t="shared" si="16"/>
        <v/>
      </c>
      <c r="D220" s="2" t="str" cm="1">
        <f t="array" ref="D220">_xll.RssMarket(C220, "銘柄名称")</f>
        <v/>
      </c>
      <c r="E220" s="2" t="str" cm="1">
        <f t="array" ref="E220">_xll.RssMarket(C220, "現在日付")</f>
        <v/>
      </c>
      <c r="F220" s="10" t="str">
        <f t="shared" ca="1" si="17"/>
        <v/>
      </c>
      <c r="G220" s="3"/>
      <c r="H220" s="4"/>
      <c r="I220" s="4"/>
      <c r="J220" s="5">
        <f t="shared" si="18"/>
        <v>0</v>
      </c>
      <c r="K220" s="4"/>
      <c r="L220" s="5">
        <f t="shared" si="19"/>
        <v>0</v>
      </c>
      <c r="M220" s="25" t="str">
        <f t="shared" si="20"/>
        <v>\0</v>
      </c>
      <c r="N220" s="23" t="str">
        <f t="shared" si="21"/>
        <v>データなし</v>
      </c>
      <c r="O220" s="24" t="str">
        <f>IF(MID(E220,3,1)=".",
   IF(OR(LEFT(E220,5)=LEFT(E221,5),LEFT(E220,5)=TEXT(E221,"mm.dd")),"",SUM($M$8:M220)-SUM($O$8:O219)),
   IF(OR(TEXT(E220,"mm.dd")=LEFT(E221,5),TEXT(E220,"mm.dd")=TEXT(E221,"mm.dd")),"",SUM($M$8:M220)-SUM($O$8:O219)))</f>
        <v/>
      </c>
    </row>
    <row r="221" spans="2:15" s="6" customFormat="1" ht="13.5" customHeight="1" x14ac:dyDescent="0.25">
      <c r="B221" s="6" t="s">
        <v>15</v>
      </c>
      <c r="C221" s="87" t="str">
        <f t="shared" si="16"/>
        <v/>
      </c>
      <c r="D221" s="2" t="str" cm="1">
        <f t="array" ref="D221">_xll.RssMarket(C221, "銘柄名称")</f>
        <v/>
      </c>
      <c r="E221" s="2" t="str" cm="1">
        <f t="array" ref="E221">_xll.RssMarket(C221, "現在日付")</f>
        <v/>
      </c>
      <c r="F221" s="10" t="str">
        <f t="shared" ca="1" si="17"/>
        <v/>
      </c>
      <c r="G221" s="3"/>
      <c r="H221" s="4"/>
      <c r="I221" s="4"/>
      <c r="J221" s="5">
        <f t="shared" si="18"/>
        <v>0</v>
      </c>
      <c r="K221" s="4"/>
      <c r="L221" s="5">
        <f t="shared" si="19"/>
        <v>0</v>
      </c>
      <c r="M221" s="25" t="str">
        <f t="shared" si="20"/>
        <v>\0</v>
      </c>
      <c r="N221" s="23" t="str">
        <f t="shared" si="21"/>
        <v>データなし</v>
      </c>
      <c r="O221" s="24" t="str">
        <f>IF(MID(E221,3,1)=".",
   IF(OR(LEFT(E221,5)=LEFT(E222,5),LEFT(E221,5)=TEXT(E222,"mm.dd")),"",SUM($M$8:M221)-SUM($O$8:O220)),
   IF(OR(TEXT(E221,"mm.dd")=LEFT(E222,5),TEXT(E221,"mm.dd")=TEXT(E222,"mm.dd")),"",SUM($M$8:M221)-SUM($O$8:O220)))</f>
        <v/>
      </c>
    </row>
    <row r="222" spans="2:15" s="6" customFormat="1" ht="13.5" customHeight="1" x14ac:dyDescent="0.25">
      <c r="B222" s="6" t="s">
        <v>15</v>
      </c>
      <c r="C222" s="87" t="str">
        <f t="shared" si="16"/>
        <v/>
      </c>
      <c r="D222" s="2" t="str" cm="1">
        <f t="array" ref="D222">_xll.RssMarket(C222, "銘柄名称")</f>
        <v/>
      </c>
      <c r="E222" s="2" t="str" cm="1">
        <f t="array" ref="E222">_xll.RssMarket(C222, "現在日付")</f>
        <v/>
      </c>
      <c r="F222" s="10" t="str">
        <f t="shared" ca="1" si="17"/>
        <v/>
      </c>
      <c r="G222" s="3"/>
      <c r="H222" s="4"/>
      <c r="I222" s="4"/>
      <c r="J222" s="5">
        <f t="shared" si="18"/>
        <v>0</v>
      </c>
      <c r="K222" s="4"/>
      <c r="L222" s="5">
        <f t="shared" si="19"/>
        <v>0</v>
      </c>
      <c r="M222" s="25" t="str">
        <f t="shared" si="20"/>
        <v>\0</v>
      </c>
      <c r="N222" s="23" t="str">
        <f t="shared" si="21"/>
        <v>データなし</v>
      </c>
      <c r="O222" s="24" t="str">
        <f>IF(MID(E222,3,1)=".",
   IF(OR(LEFT(E222,5)=LEFT(E223,5),LEFT(E222,5)=TEXT(E223,"mm.dd")),"",SUM($M$8:M222)-SUM($O$8:O221)),
   IF(OR(TEXT(E222,"mm.dd")=LEFT(E223,5),TEXT(E222,"mm.dd")=TEXT(E223,"mm.dd")),"",SUM($M$8:M222)-SUM($O$8:O221)))</f>
        <v/>
      </c>
    </row>
    <row r="223" spans="2:15" s="6" customFormat="1" ht="13.5" customHeight="1" x14ac:dyDescent="0.25">
      <c r="B223" s="6" t="s">
        <v>15</v>
      </c>
      <c r="C223" s="87" t="str">
        <f t="shared" si="16"/>
        <v/>
      </c>
      <c r="D223" s="2" t="str" cm="1">
        <f t="array" ref="D223">_xll.RssMarket(C223, "銘柄名称")</f>
        <v/>
      </c>
      <c r="E223" s="2" t="str" cm="1">
        <f t="array" ref="E223">_xll.RssMarket(C223, "現在日付")</f>
        <v/>
      </c>
      <c r="F223" s="10" t="str">
        <f t="shared" ca="1" si="17"/>
        <v/>
      </c>
      <c r="G223" s="3"/>
      <c r="H223" s="4"/>
      <c r="I223" s="4"/>
      <c r="J223" s="5">
        <f t="shared" si="18"/>
        <v>0</v>
      </c>
      <c r="K223" s="4"/>
      <c r="L223" s="5">
        <f t="shared" si="19"/>
        <v>0</v>
      </c>
      <c r="M223" s="25" t="str">
        <f t="shared" si="20"/>
        <v>\0</v>
      </c>
      <c r="N223" s="23" t="str">
        <f t="shared" si="21"/>
        <v>データなし</v>
      </c>
      <c r="O223" s="24" t="str">
        <f>IF(MID(E223,3,1)=".",
   IF(OR(LEFT(E223,5)=LEFT(E224,5),LEFT(E223,5)=TEXT(E224,"mm.dd")),"",SUM($M$8:M223)-SUM($O$8:O222)),
   IF(OR(TEXT(E223,"mm.dd")=LEFT(E224,5),TEXT(E223,"mm.dd")=TEXT(E224,"mm.dd")),"",SUM($M$8:M223)-SUM($O$8:O222)))</f>
        <v/>
      </c>
    </row>
    <row r="224" spans="2:15" s="6" customFormat="1" ht="13.5" customHeight="1" x14ac:dyDescent="0.25">
      <c r="B224" s="6" t="s">
        <v>15</v>
      </c>
      <c r="C224" s="87" t="str">
        <f t="shared" si="16"/>
        <v/>
      </c>
      <c r="D224" s="2" t="str" cm="1">
        <f t="array" ref="D224">_xll.RssMarket(C224, "銘柄名称")</f>
        <v/>
      </c>
      <c r="E224" s="2" t="str" cm="1">
        <f t="array" ref="E224">_xll.RssMarket(C224, "現在日付")</f>
        <v/>
      </c>
      <c r="F224" s="10" t="str">
        <f t="shared" ca="1" si="17"/>
        <v/>
      </c>
      <c r="G224" s="3"/>
      <c r="H224" s="4"/>
      <c r="I224" s="4"/>
      <c r="J224" s="5">
        <f t="shared" si="18"/>
        <v>0</v>
      </c>
      <c r="K224" s="4"/>
      <c r="L224" s="5">
        <f t="shared" si="19"/>
        <v>0</v>
      </c>
      <c r="M224" s="25" t="str">
        <f t="shared" si="20"/>
        <v>\0</v>
      </c>
      <c r="N224" s="23" t="str">
        <f t="shared" si="21"/>
        <v>データなし</v>
      </c>
      <c r="O224" s="24" t="str">
        <f>IF(MID(E224,3,1)=".",
   IF(OR(LEFT(E224,5)=LEFT(E225,5),LEFT(E224,5)=TEXT(E225,"mm.dd")),"",SUM($M$8:M224)-SUM($O$8:O223)),
   IF(OR(TEXT(E224,"mm.dd")=LEFT(E225,5),TEXT(E224,"mm.dd")=TEXT(E225,"mm.dd")),"",SUM($M$8:M224)-SUM($O$8:O223)))</f>
        <v/>
      </c>
    </row>
    <row r="225" spans="2:15" s="6" customFormat="1" ht="13.5" customHeight="1" x14ac:dyDescent="0.25">
      <c r="B225" s="6" t="s">
        <v>15</v>
      </c>
      <c r="C225" s="87" t="str">
        <f t="shared" si="16"/>
        <v/>
      </c>
      <c r="D225" s="2" t="str" cm="1">
        <f t="array" ref="D225">_xll.RssMarket(C225, "銘柄名称")</f>
        <v/>
      </c>
      <c r="E225" s="2" t="str" cm="1">
        <f t="array" ref="E225">_xll.RssMarket(C225, "現在日付")</f>
        <v/>
      </c>
      <c r="F225" s="10" t="str">
        <f t="shared" ca="1" si="17"/>
        <v/>
      </c>
      <c r="G225" s="3"/>
      <c r="H225" s="4"/>
      <c r="I225" s="4"/>
      <c r="J225" s="5">
        <f t="shared" si="18"/>
        <v>0</v>
      </c>
      <c r="K225" s="4"/>
      <c r="L225" s="5">
        <f t="shared" si="19"/>
        <v>0</v>
      </c>
      <c r="M225" s="25" t="str">
        <f t="shared" si="20"/>
        <v>\0</v>
      </c>
      <c r="N225" s="23" t="str">
        <f t="shared" si="21"/>
        <v>データなし</v>
      </c>
      <c r="O225" s="24" t="str">
        <f>IF(MID(E225,3,1)=".",
   IF(OR(LEFT(E225,5)=LEFT(E226,5),LEFT(E225,5)=TEXT(E226,"mm.dd")),"",SUM($M$8:M225)-SUM($O$8:O224)),
   IF(OR(TEXT(E225,"mm.dd")=LEFT(E226,5),TEXT(E225,"mm.dd")=TEXT(E226,"mm.dd")),"",SUM($M$8:M225)-SUM($O$8:O224)))</f>
        <v/>
      </c>
    </row>
    <row r="226" spans="2:15" s="6" customFormat="1" ht="13.5" customHeight="1" x14ac:dyDescent="0.25">
      <c r="B226" s="6" t="s">
        <v>15</v>
      </c>
      <c r="C226" s="87" t="str">
        <f t="shared" si="16"/>
        <v/>
      </c>
      <c r="D226" s="2" t="str" cm="1">
        <f t="array" ref="D226">_xll.RssMarket(C226, "銘柄名称")</f>
        <v/>
      </c>
      <c r="E226" s="2" t="str" cm="1">
        <f t="array" ref="E226">_xll.RssMarket(C226, "現在日付")</f>
        <v/>
      </c>
      <c r="F226" s="10" t="str">
        <f t="shared" ca="1" si="17"/>
        <v/>
      </c>
      <c r="G226" s="3"/>
      <c r="H226" s="4"/>
      <c r="I226" s="4"/>
      <c r="J226" s="5">
        <f t="shared" si="18"/>
        <v>0</v>
      </c>
      <c r="K226" s="4"/>
      <c r="L226" s="5">
        <f t="shared" si="19"/>
        <v>0</v>
      </c>
      <c r="M226" s="25" t="str">
        <f t="shared" si="20"/>
        <v>\0</v>
      </c>
      <c r="N226" s="23" t="str">
        <f t="shared" si="21"/>
        <v>データなし</v>
      </c>
      <c r="O226" s="24" t="str">
        <f>IF(MID(E226,3,1)=".",
   IF(OR(LEFT(E226,5)=LEFT(E227,5),LEFT(E226,5)=TEXT(E227,"mm.dd")),"",SUM($M$8:M226)-SUM($O$8:O225)),
   IF(OR(TEXT(E226,"mm.dd")=LEFT(E227,5),TEXT(E226,"mm.dd")=TEXT(E227,"mm.dd")),"",SUM($M$8:M226)-SUM($O$8:O225)))</f>
        <v/>
      </c>
    </row>
    <row r="227" spans="2:15" s="6" customFormat="1" ht="13.5" customHeight="1" x14ac:dyDescent="0.25">
      <c r="B227" s="6" t="s">
        <v>15</v>
      </c>
      <c r="C227" s="87" t="str">
        <f t="shared" si="16"/>
        <v/>
      </c>
      <c r="D227" s="2" t="str" cm="1">
        <f t="array" ref="D227">_xll.RssMarket(C227, "銘柄名称")</f>
        <v/>
      </c>
      <c r="E227" s="2" t="str" cm="1">
        <f t="array" ref="E227">_xll.RssMarket(C227, "現在日付")</f>
        <v/>
      </c>
      <c r="F227" s="10" t="str">
        <f t="shared" ca="1" si="17"/>
        <v/>
      </c>
      <c r="G227" s="3"/>
      <c r="H227" s="4"/>
      <c r="I227" s="4"/>
      <c r="J227" s="5">
        <f t="shared" si="18"/>
        <v>0</v>
      </c>
      <c r="K227" s="4"/>
      <c r="L227" s="5">
        <f t="shared" si="19"/>
        <v>0</v>
      </c>
      <c r="M227" s="25" t="str">
        <f t="shared" si="20"/>
        <v>\0</v>
      </c>
      <c r="N227" s="23" t="str">
        <f t="shared" si="21"/>
        <v>データなし</v>
      </c>
      <c r="O227" s="24" t="str">
        <f>IF(MID(E227,3,1)=".",
   IF(OR(LEFT(E227,5)=LEFT(E228,5),LEFT(E227,5)=TEXT(E228,"mm.dd")),"",SUM($M$8:M227)-SUM($O$8:O226)),
   IF(OR(TEXT(E227,"mm.dd")=LEFT(E228,5),TEXT(E227,"mm.dd")=TEXT(E228,"mm.dd")),"",SUM($M$8:M227)-SUM($O$8:O226)))</f>
        <v/>
      </c>
    </row>
    <row r="228" spans="2:15" s="6" customFormat="1" ht="13.5" customHeight="1" x14ac:dyDescent="0.25">
      <c r="B228" s="6" t="s">
        <v>15</v>
      </c>
      <c r="C228" s="87" t="str">
        <f t="shared" ref="C228:C291" si="22">IF(COUNTIF(A:A,A228)&gt;1,"重複!","")</f>
        <v/>
      </c>
      <c r="D228" s="2" t="str" cm="1">
        <f t="array" ref="D228">_xll.RssMarket(C228, "銘柄名称")</f>
        <v/>
      </c>
      <c r="E228" s="2" t="str" cm="1">
        <f t="array" ref="E228">_xll.RssMarket(C228, "現在日付")</f>
        <v/>
      </c>
      <c r="F228" s="10" t="str">
        <f t="shared" ref="F228:F291" ca="1" si="23">IF(K228="","",TODAY())</f>
        <v/>
      </c>
      <c r="G228" s="3"/>
      <c r="H228" s="4"/>
      <c r="I228" s="4"/>
      <c r="J228" s="5">
        <f t="shared" ref="J228:J291" si="24">(G228*H228)+I228</f>
        <v>0</v>
      </c>
      <c r="K228" s="4"/>
      <c r="L228" s="5">
        <f t="shared" ref="L228:L291" si="25">G228*K228</f>
        <v>0</v>
      </c>
      <c r="M228" s="25" t="str">
        <f t="shared" ref="M228:M291" si="26">IF(OR(H228="",K228=""),"\0",IF(B228="売",(J228-L228),(L228-J228)))</f>
        <v>\0</v>
      </c>
      <c r="N228" s="23" t="str">
        <f t="shared" ref="N228:N291" si="27">IF(ISERR(M228/J228),"データなし",(M228/J228))</f>
        <v>データなし</v>
      </c>
      <c r="O228" s="24" t="str">
        <f>IF(MID(E228,3,1)=".",
   IF(OR(LEFT(E228,5)=LEFT(E229,5),LEFT(E228,5)=TEXT(E229,"mm.dd")),"",SUM($M$8:M228)-SUM($O$8:O227)),
   IF(OR(TEXT(E228,"mm.dd")=LEFT(E229,5),TEXT(E228,"mm.dd")=TEXT(E229,"mm.dd")),"",SUM($M$8:M228)-SUM($O$8:O227)))</f>
        <v/>
      </c>
    </row>
    <row r="229" spans="2:15" s="6" customFormat="1" ht="13.5" customHeight="1" x14ac:dyDescent="0.25">
      <c r="B229" s="6" t="s">
        <v>15</v>
      </c>
      <c r="C229" s="87" t="str">
        <f t="shared" si="22"/>
        <v/>
      </c>
      <c r="D229" s="2" t="str" cm="1">
        <f t="array" ref="D229">_xll.RssMarket(C229, "銘柄名称")</f>
        <v/>
      </c>
      <c r="E229" s="2" t="str" cm="1">
        <f t="array" ref="E229">_xll.RssMarket(C229, "現在日付")</f>
        <v/>
      </c>
      <c r="F229" s="10" t="str">
        <f t="shared" ca="1" si="23"/>
        <v/>
      </c>
      <c r="G229" s="3"/>
      <c r="H229" s="4"/>
      <c r="I229" s="4"/>
      <c r="J229" s="5">
        <f t="shared" si="24"/>
        <v>0</v>
      </c>
      <c r="K229" s="4"/>
      <c r="L229" s="5">
        <f t="shared" si="25"/>
        <v>0</v>
      </c>
      <c r="M229" s="25" t="str">
        <f t="shared" si="26"/>
        <v>\0</v>
      </c>
      <c r="N229" s="23" t="str">
        <f t="shared" si="27"/>
        <v>データなし</v>
      </c>
      <c r="O229" s="24" t="str">
        <f>IF(MID(E229,3,1)=".",
   IF(OR(LEFT(E229,5)=LEFT(E230,5),LEFT(E229,5)=TEXT(E230,"mm.dd")),"",SUM($M$8:M229)-SUM($O$8:O228)),
   IF(OR(TEXT(E229,"mm.dd")=LEFT(E230,5),TEXT(E229,"mm.dd")=TEXT(E230,"mm.dd")),"",SUM($M$8:M229)-SUM($O$8:O228)))</f>
        <v/>
      </c>
    </row>
    <row r="230" spans="2:15" s="6" customFormat="1" ht="13.5" customHeight="1" x14ac:dyDescent="0.25">
      <c r="B230" s="6" t="s">
        <v>15</v>
      </c>
      <c r="C230" s="87" t="str">
        <f t="shared" si="22"/>
        <v/>
      </c>
      <c r="D230" s="2" t="str" cm="1">
        <f t="array" ref="D230">_xll.RssMarket(C230, "銘柄名称")</f>
        <v/>
      </c>
      <c r="E230" s="2" t="str" cm="1">
        <f t="array" ref="E230">_xll.RssMarket(C230, "現在日付")</f>
        <v/>
      </c>
      <c r="F230" s="10" t="str">
        <f t="shared" ca="1" si="23"/>
        <v/>
      </c>
      <c r="G230" s="3"/>
      <c r="H230" s="4"/>
      <c r="I230" s="4"/>
      <c r="J230" s="5">
        <f t="shared" si="24"/>
        <v>0</v>
      </c>
      <c r="K230" s="4"/>
      <c r="L230" s="5">
        <f t="shared" si="25"/>
        <v>0</v>
      </c>
      <c r="M230" s="25" t="str">
        <f t="shared" si="26"/>
        <v>\0</v>
      </c>
      <c r="N230" s="23" t="str">
        <f t="shared" si="27"/>
        <v>データなし</v>
      </c>
      <c r="O230" s="24" t="str">
        <f>IF(MID(E230,3,1)=".",
   IF(OR(LEFT(E230,5)=LEFT(E231,5),LEFT(E230,5)=TEXT(E231,"mm.dd")),"",SUM($M$8:M230)-SUM($O$8:O229)),
   IF(OR(TEXT(E230,"mm.dd")=LEFT(E231,5),TEXT(E230,"mm.dd")=TEXT(E231,"mm.dd")),"",SUM($M$8:M230)-SUM($O$8:O229)))</f>
        <v/>
      </c>
    </row>
    <row r="231" spans="2:15" s="6" customFormat="1" ht="13.5" customHeight="1" x14ac:dyDescent="0.25">
      <c r="B231" s="6" t="s">
        <v>15</v>
      </c>
      <c r="C231" s="87" t="str">
        <f t="shared" si="22"/>
        <v/>
      </c>
      <c r="D231" s="2" t="str" cm="1">
        <f t="array" ref="D231">_xll.RssMarket(C231, "銘柄名称")</f>
        <v/>
      </c>
      <c r="E231" s="2" t="str" cm="1">
        <f t="array" ref="E231">_xll.RssMarket(C231, "現在日付")</f>
        <v/>
      </c>
      <c r="F231" s="10" t="str">
        <f t="shared" ca="1" si="23"/>
        <v/>
      </c>
      <c r="G231" s="3"/>
      <c r="H231" s="4"/>
      <c r="I231" s="4"/>
      <c r="J231" s="5">
        <f t="shared" si="24"/>
        <v>0</v>
      </c>
      <c r="K231" s="4"/>
      <c r="L231" s="5">
        <f t="shared" si="25"/>
        <v>0</v>
      </c>
      <c r="M231" s="25" t="str">
        <f t="shared" si="26"/>
        <v>\0</v>
      </c>
      <c r="N231" s="23" t="str">
        <f t="shared" si="27"/>
        <v>データなし</v>
      </c>
      <c r="O231" s="24" t="str">
        <f>IF(MID(E231,3,1)=".",
   IF(OR(LEFT(E231,5)=LEFT(E232,5),LEFT(E231,5)=TEXT(E232,"mm.dd")),"",SUM($M$8:M231)-SUM($O$8:O230)),
   IF(OR(TEXT(E231,"mm.dd")=LEFT(E232,5),TEXT(E231,"mm.dd")=TEXT(E232,"mm.dd")),"",SUM($M$8:M231)-SUM($O$8:O230)))</f>
        <v/>
      </c>
    </row>
    <row r="232" spans="2:15" s="6" customFormat="1" ht="13.5" customHeight="1" x14ac:dyDescent="0.25">
      <c r="B232" s="6" t="s">
        <v>15</v>
      </c>
      <c r="C232" s="87" t="str">
        <f t="shared" si="22"/>
        <v/>
      </c>
      <c r="D232" s="2" t="str" cm="1">
        <f t="array" ref="D232">_xll.RssMarket(C232, "銘柄名称")</f>
        <v/>
      </c>
      <c r="E232" s="2" t="str" cm="1">
        <f t="array" ref="E232">_xll.RssMarket(C232, "現在日付")</f>
        <v/>
      </c>
      <c r="F232" s="10" t="str">
        <f t="shared" ca="1" si="23"/>
        <v/>
      </c>
      <c r="G232" s="3"/>
      <c r="H232" s="4"/>
      <c r="I232" s="4"/>
      <c r="J232" s="5">
        <f t="shared" si="24"/>
        <v>0</v>
      </c>
      <c r="K232" s="4"/>
      <c r="L232" s="5">
        <f t="shared" si="25"/>
        <v>0</v>
      </c>
      <c r="M232" s="25" t="str">
        <f t="shared" si="26"/>
        <v>\0</v>
      </c>
      <c r="N232" s="23" t="str">
        <f t="shared" si="27"/>
        <v>データなし</v>
      </c>
      <c r="O232" s="24" t="str">
        <f>IF(MID(E232,3,1)=".",
   IF(OR(LEFT(E232,5)=LEFT(E233,5),LEFT(E232,5)=TEXT(E233,"mm.dd")),"",SUM($M$8:M232)-SUM($O$8:O231)),
   IF(OR(TEXT(E232,"mm.dd")=LEFT(E233,5),TEXT(E232,"mm.dd")=TEXT(E233,"mm.dd")),"",SUM($M$8:M232)-SUM($O$8:O231)))</f>
        <v/>
      </c>
    </row>
    <row r="233" spans="2:15" s="6" customFormat="1" ht="13.5" customHeight="1" x14ac:dyDescent="0.25">
      <c r="B233" s="6" t="s">
        <v>15</v>
      </c>
      <c r="C233" s="87" t="str">
        <f t="shared" si="22"/>
        <v/>
      </c>
      <c r="D233" s="2" t="str" cm="1">
        <f t="array" ref="D233">_xll.RssMarket(C233, "銘柄名称")</f>
        <v/>
      </c>
      <c r="E233" s="2" t="str" cm="1">
        <f t="array" ref="E233">_xll.RssMarket(C233, "現在日付")</f>
        <v/>
      </c>
      <c r="F233" s="10" t="str">
        <f t="shared" ca="1" si="23"/>
        <v/>
      </c>
      <c r="G233" s="3"/>
      <c r="H233" s="4"/>
      <c r="I233" s="4"/>
      <c r="J233" s="5">
        <f t="shared" si="24"/>
        <v>0</v>
      </c>
      <c r="K233" s="4"/>
      <c r="L233" s="5">
        <f t="shared" si="25"/>
        <v>0</v>
      </c>
      <c r="M233" s="25" t="str">
        <f t="shared" si="26"/>
        <v>\0</v>
      </c>
      <c r="N233" s="23" t="str">
        <f t="shared" si="27"/>
        <v>データなし</v>
      </c>
      <c r="O233" s="24" t="str">
        <f>IF(MID(E233,3,1)=".",
   IF(OR(LEFT(E233,5)=LEFT(E234,5),LEFT(E233,5)=TEXT(E234,"mm.dd")),"",SUM($M$8:M233)-SUM($O$8:O232)),
   IF(OR(TEXT(E233,"mm.dd")=LEFT(E234,5),TEXT(E233,"mm.dd")=TEXT(E234,"mm.dd")),"",SUM($M$8:M233)-SUM($O$8:O232)))</f>
        <v/>
      </c>
    </row>
    <row r="234" spans="2:15" s="6" customFormat="1" ht="13.5" customHeight="1" x14ac:dyDescent="0.25">
      <c r="B234" s="6" t="s">
        <v>15</v>
      </c>
      <c r="C234" s="87" t="str">
        <f t="shared" si="22"/>
        <v/>
      </c>
      <c r="D234" s="2" t="str" cm="1">
        <f t="array" ref="D234">_xll.RssMarket(C234, "銘柄名称")</f>
        <v/>
      </c>
      <c r="E234" s="2" t="str" cm="1">
        <f t="array" ref="E234">_xll.RssMarket(C234, "現在日付")</f>
        <v/>
      </c>
      <c r="F234" s="10" t="str">
        <f t="shared" ca="1" si="23"/>
        <v/>
      </c>
      <c r="G234" s="3"/>
      <c r="H234" s="4"/>
      <c r="I234" s="4"/>
      <c r="J234" s="5">
        <f t="shared" si="24"/>
        <v>0</v>
      </c>
      <c r="K234" s="4"/>
      <c r="L234" s="5">
        <f t="shared" si="25"/>
        <v>0</v>
      </c>
      <c r="M234" s="25" t="str">
        <f t="shared" si="26"/>
        <v>\0</v>
      </c>
      <c r="N234" s="23" t="str">
        <f t="shared" si="27"/>
        <v>データなし</v>
      </c>
      <c r="O234" s="24" t="str">
        <f>IF(MID(E234,3,1)=".",
   IF(OR(LEFT(E234,5)=LEFT(E235,5),LEFT(E234,5)=TEXT(E235,"mm.dd")),"",SUM($M$8:M234)-SUM($O$8:O233)),
   IF(OR(TEXT(E234,"mm.dd")=LEFT(E235,5),TEXT(E234,"mm.dd")=TEXT(E235,"mm.dd")),"",SUM($M$8:M234)-SUM($O$8:O233)))</f>
        <v/>
      </c>
    </row>
    <row r="235" spans="2:15" s="6" customFormat="1" ht="13.5" customHeight="1" x14ac:dyDescent="0.25">
      <c r="B235" s="6" t="s">
        <v>15</v>
      </c>
      <c r="C235" s="87" t="str">
        <f t="shared" si="22"/>
        <v/>
      </c>
      <c r="D235" s="2" t="str" cm="1">
        <f t="array" ref="D235">_xll.RssMarket(C235, "銘柄名称")</f>
        <v/>
      </c>
      <c r="E235" s="2" t="str" cm="1">
        <f t="array" ref="E235">_xll.RssMarket(C235, "現在日付")</f>
        <v/>
      </c>
      <c r="F235" s="10" t="str">
        <f t="shared" ca="1" si="23"/>
        <v/>
      </c>
      <c r="G235" s="3"/>
      <c r="H235" s="4"/>
      <c r="I235" s="4"/>
      <c r="J235" s="5">
        <f t="shared" si="24"/>
        <v>0</v>
      </c>
      <c r="K235" s="4"/>
      <c r="L235" s="5">
        <f t="shared" si="25"/>
        <v>0</v>
      </c>
      <c r="M235" s="25" t="str">
        <f t="shared" si="26"/>
        <v>\0</v>
      </c>
      <c r="N235" s="23" t="str">
        <f t="shared" si="27"/>
        <v>データなし</v>
      </c>
      <c r="O235" s="24" t="str">
        <f>IF(MID(E235,3,1)=".",
   IF(OR(LEFT(E235,5)=LEFT(E236,5),LEFT(E235,5)=TEXT(E236,"mm.dd")),"",SUM($M$8:M235)-SUM($O$8:O234)),
   IF(OR(TEXT(E235,"mm.dd")=LEFT(E236,5),TEXT(E235,"mm.dd")=TEXT(E236,"mm.dd")),"",SUM($M$8:M235)-SUM($O$8:O234)))</f>
        <v/>
      </c>
    </row>
    <row r="236" spans="2:15" s="6" customFormat="1" ht="13.5" customHeight="1" x14ac:dyDescent="0.25">
      <c r="B236" s="6" t="s">
        <v>15</v>
      </c>
      <c r="C236" s="87" t="str">
        <f t="shared" si="22"/>
        <v/>
      </c>
      <c r="D236" s="2" t="str" cm="1">
        <f t="array" ref="D236">_xll.RssMarket(C236, "銘柄名称")</f>
        <v/>
      </c>
      <c r="E236" s="2" t="str" cm="1">
        <f t="array" ref="E236">_xll.RssMarket(C236, "現在日付")</f>
        <v/>
      </c>
      <c r="F236" s="10" t="str">
        <f t="shared" ca="1" si="23"/>
        <v/>
      </c>
      <c r="G236" s="3"/>
      <c r="H236" s="4"/>
      <c r="I236" s="4"/>
      <c r="J236" s="5">
        <f t="shared" si="24"/>
        <v>0</v>
      </c>
      <c r="K236" s="4"/>
      <c r="L236" s="5">
        <f t="shared" si="25"/>
        <v>0</v>
      </c>
      <c r="M236" s="25" t="str">
        <f t="shared" si="26"/>
        <v>\0</v>
      </c>
      <c r="N236" s="23" t="str">
        <f t="shared" si="27"/>
        <v>データなし</v>
      </c>
      <c r="O236" s="24" t="str">
        <f>IF(MID(E236,3,1)=".",
   IF(OR(LEFT(E236,5)=LEFT(E237,5),LEFT(E236,5)=TEXT(E237,"mm.dd")),"",SUM($M$8:M236)-SUM($O$8:O235)),
   IF(OR(TEXT(E236,"mm.dd")=LEFT(E237,5),TEXT(E236,"mm.dd")=TEXT(E237,"mm.dd")),"",SUM($M$8:M236)-SUM($O$8:O235)))</f>
        <v/>
      </c>
    </row>
    <row r="237" spans="2:15" s="6" customFormat="1" ht="13.5" customHeight="1" x14ac:dyDescent="0.25">
      <c r="B237" s="6" t="s">
        <v>15</v>
      </c>
      <c r="C237" s="87" t="str">
        <f t="shared" si="22"/>
        <v/>
      </c>
      <c r="D237" s="2" t="str" cm="1">
        <f t="array" ref="D237">_xll.RssMarket(C237, "銘柄名称")</f>
        <v/>
      </c>
      <c r="E237" s="2" t="str" cm="1">
        <f t="array" ref="E237">_xll.RssMarket(C237, "現在日付")</f>
        <v/>
      </c>
      <c r="F237" s="10" t="str">
        <f t="shared" ca="1" si="23"/>
        <v/>
      </c>
      <c r="G237" s="3"/>
      <c r="H237" s="4"/>
      <c r="I237" s="4"/>
      <c r="J237" s="5">
        <f t="shared" si="24"/>
        <v>0</v>
      </c>
      <c r="K237" s="4"/>
      <c r="L237" s="5">
        <f t="shared" si="25"/>
        <v>0</v>
      </c>
      <c r="M237" s="25" t="str">
        <f t="shared" si="26"/>
        <v>\0</v>
      </c>
      <c r="N237" s="23" t="str">
        <f t="shared" si="27"/>
        <v>データなし</v>
      </c>
      <c r="O237" s="24" t="str">
        <f>IF(MID(E237,3,1)=".",
   IF(OR(LEFT(E237,5)=LEFT(E238,5),LEFT(E237,5)=TEXT(E238,"mm.dd")),"",SUM($M$8:M237)-SUM($O$8:O236)),
   IF(OR(TEXT(E237,"mm.dd")=LEFT(E238,5),TEXT(E237,"mm.dd")=TEXT(E238,"mm.dd")),"",SUM($M$8:M237)-SUM($O$8:O236)))</f>
        <v/>
      </c>
    </row>
    <row r="238" spans="2:15" s="6" customFormat="1" ht="13.5" customHeight="1" x14ac:dyDescent="0.25">
      <c r="B238" s="6" t="s">
        <v>15</v>
      </c>
      <c r="C238" s="87" t="str">
        <f t="shared" si="22"/>
        <v/>
      </c>
      <c r="D238" s="2" t="str" cm="1">
        <f t="array" ref="D238">_xll.RssMarket(C238, "銘柄名称")</f>
        <v/>
      </c>
      <c r="E238" s="2" t="str" cm="1">
        <f t="array" ref="E238">_xll.RssMarket(C238, "現在日付")</f>
        <v/>
      </c>
      <c r="F238" s="10" t="str">
        <f t="shared" ca="1" si="23"/>
        <v/>
      </c>
      <c r="G238" s="3"/>
      <c r="H238" s="4"/>
      <c r="I238" s="4"/>
      <c r="J238" s="5">
        <f t="shared" si="24"/>
        <v>0</v>
      </c>
      <c r="K238" s="4"/>
      <c r="L238" s="5">
        <f t="shared" si="25"/>
        <v>0</v>
      </c>
      <c r="M238" s="25" t="str">
        <f t="shared" si="26"/>
        <v>\0</v>
      </c>
      <c r="N238" s="23" t="str">
        <f t="shared" si="27"/>
        <v>データなし</v>
      </c>
      <c r="O238" s="24" t="str">
        <f>IF(MID(E238,3,1)=".",
   IF(OR(LEFT(E238,5)=LEFT(E239,5),LEFT(E238,5)=TEXT(E239,"mm.dd")),"",SUM($M$8:M238)-SUM($O$8:O237)),
   IF(OR(TEXT(E238,"mm.dd")=LEFT(E239,5),TEXT(E238,"mm.dd")=TEXT(E239,"mm.dd")),"",SUM($M$8:M238)-SUM($O$8:O237)))</f>
        <v/>
      </c>
    </row>
    <row r="239" spans="2:15" s="6" customFormat="1" ht="13.5" customHeight="1" x14ac:dyDescent="0.25">
      <c r="B239" s="6" t="s">
        <v>15</v>
      </c>
      <c r="C239" s="87" t="str">
        <f t="shared" si="22"/>
        <v/>
      </c>
      <c r="D239" s="2" t="str" cm="1">
        <f t="array" ref="D239">_xll.RssMarket(C239, "銘柄名称")</f>
        <v/>
      </c>
      <c r="E239" s="2" t="str" cm="1">
        <f t="array" ref="E239">_xll.RssMarket(C239, "現在日付")</f>
        <v/>
      </c>
      <c r="F239" s="10" t="str">
        <f t="shared" ca="1" si="23"/>
        <v/>
      </c>
      <c r="G239" s="3"/>
      <c r="H239" s="4"/>
      <c r="I239" s="4"/>
      <c r="J239" s="5">
        <f t="shared" si="24"/>
        <v>0</v>
      </c>
      <c r="K239" s="4"/>
      <c r="L239" s="5">
        <f t="shared" si="25"/>
        <v>0</v>
      </c>
      <c r="M239" s="25" t="str">
        <f t="shared" si="26"/>
        <v>\0</v>
      </c>
      <c r="N239" s="23" t="str">
        <f t="shared" si="27"/>
        <v>データなし</v>
      </c>
      <c r="O239" s="24" t="str">
        <f>IF(MID(E239,3,1)=".",
   IF(OR(LEFT(E239,5)=LEFT(E240,5),LEFT(E239,5)=TEXT(E240,"mm.dd")),"",SUM($M$8:M239)-SUM($O$8:O238)),
   IF(OR(TEXT(E239,"mm.dd")=LEFT(E240,5),TEXT(E239,"mm.dd")=TEXT(E240,"mm.dd")),"",SUM($M$8:M239)-SUM($O$8:O238)))</f>
        <v/>
      </c>
    </row>
    <row r="240" spans="2:15" s="6" customFormat="1" ht="13.5" customHeight="1" x14ac:dyDescent="0.25">
      <c r="B240" s="6" t="s">
        <v>15</v>
      </c>
      <c r="C240" s="87" t="str">
        <f t="shared" si="22"/>
        <v/>
      </c>
      <c r="D240" s="2" t="str" cm="1">
        <f t="array" ref="D240">_xll.RssMarket(C240, "銘柄名称")</f>
        <v/>
      </c>
      <c r="E240" s="2" t="str" cm="1">
        <f t="array" ref="E240">_xll.RssMarket(C240, "現在日付")</f>
        <v/>
      </c>
      <c r="F240" s="10" t="str">
        <f t="shared" ca="1" si="23"/>
        <v/>
      </c>
      <c r="G240" s="3"/>
      <c r="H240" s="4"/>
      <c r="I240" s="4"/>
      <c r="J240" s="5">
        <f t="shared" si="24"/>
        <v>0</v>
      </c>
      <c r="K240" s="4"/>
      <c r="L240" s="5">
        <f t="shared" si="25"/>
        <v>0</v>
      </c>
      <c r="M240" s="25" t="str">
        <f t="shared" si="26"/>
        <v>\0</v>
      </c>
      <c r="N240" s="23" t="str">
        <f t="shared" si="27"/>
        <v>データなし</v>
      </c>
      <c r="O240" s="24" t="str">
        <f>IF(MID(E240,3,1)=".",
   IF(OR(LEFT(E240,5)=LEFT(E241,5),LEFT(E240,5)=TEXT(E241,"mm.dd")),"",SUM($M$8:M240)-SUM($O$8:O239)),
   IF(OR(TEXT(E240,"mm.dd")=LEFT(E241,5),TEXT(E240,"mm.dd")=TEXT(E241,"mm.dd")),"",SUM($M$8:M240)-SUM($O$8:O239)))</f>
        <v/>
      </c>
    </row>
    <row r="241" spans="2:15" s="6" customFormat="1" ht="13.5" customHeight="1" x14ac:dyDescent="0.25">
      <c r="B241" s="6" t="s">
        <v>15</v>
      </c>
      <c r="C241" s="87" t="str">
        <f t="shared" si="22"/>
        <v/>
      </c>
      <c r="D241" s="2" t="str" cm="1">
        <f t="array" ref="D241">_xll.RssMarket(C241, "銘柄名称")</f>
        <v/>
      </c>
      <c r="E241" s="2" t="str" cm="1">
        <f t="array" ref="E241">_xll.RssMarket(C241, "現在日付")</f>
        <v/>
      </c>
      <c r="F241" s="10" t="str">
        <f t="shared" ca="1" si="23"/>
        <v/>
      </c>
      <c r="G241" s="3"/>
      <c r="H241" s="4"/>
      <c r="I241" s="4"/>
      <c r="J241" s="5">
        <f t="shared" si="24"/>
        <v>0</v>
      </c>
      <c r="K241" s="4"/>
      <c r="L241" s="5">
        <f t="shared" si="25"/>
        <v>0</v>
      </c>
      <c r="M241" s="25" t="str">
        <f t="shared" si="26"/>
        <v>\0</v>
      </c>
      <c r="N241" s="23" t="str">
        <f t="shared" si="27"/>
        <v>データなし</v>
      </c>
      <c r="O241" s="24" t="str">
        <f>IF(MID(E241,3,1)=".",
   IF(OR(LEFT(E241,5)=LEFT(E242,5),LEFT(E241,5)=TEXT(E242,"mm.dd")),"",SUM($M$8:M241)-SUM($O$8:O240)),
   IF(OR(TEXT(E241,"mm.dd")=LEFT(E242,5),TEXT(E241,"mm.dd")=TEXT(E242,"mm.dd")),"",SUM($M$8:M241)-SUM($O$8:O240)))</f>
        <v/>
      </c>
    </row>
    <row r="242" spans="2:15" s="6" customFormat="1" ht="13.5" customHeight="1" x14ac:dyDescent="0.25">
      <c r="B242" s="6" t="s">
        <v>15</v>
      </c>
      <c r="C242" s="87" t="str">
        <f t="shared" si="22"/>
        <v/>
      </c>
      <c r="D242" s="2" t="str" cm="1">
        <f t="array" ref="D242">_xll.RssMarket(C242, "銘柄名称")</f>
        <v/>
      </c>
      <c r="E242" s="2" t="str" cm="1">
        <f t="array" ref="E242">_xll.RssMarket(C242, "現在日付")</f>
        <v/>
      </c>
      <c r="F242" s="10" t="str">
        <f t="shared" ca="1" si="23"/>
        <v/>
      </c>
      <c r="G242" s="3"/>
      <c r="H242" s="4"/>
      <c r="I242" s="4"/>
      <c r="J242" s="5">
        <f t="shared" si="24"/>
        <v>0</v>
      </c>
      <c r="K242" s="4"/>
      <c r="L242" s="5">
        <f t="shared" si="25"/>
        <v>0</v>
      </c>
      <c r="M242" s="25" t="str">
        <f t="shared" si="26"/>
        <v>\0</v>
      </c>
      <c r="N242" s="23" t="str">
        <f t="shared" si="27"/>
        <v>データなし</v>
      </c>
      <c r="O242" s="24" t="str">
        <f>IF(MID(E242,3,1)=".",
   IF(OR(LEFT(E242,5)=LEFT(E243,5),LEFT(E242,5)=TEXT(E243,"mm.dd")),"",SUM($M$8:M242)-SUM($O$8:O241)),
   IF(OR(TEXT(E242,"mm.dd")=LEFT(E243,5),TEXT(E242,"mm.dd")=TEXT(E243,"mm.dd")),"",SUM($M$8:M242)-SUM($O$8:O241)))</f>
        <v/>
      </c>
    </row>
    <row r="243" spans="2:15" s="6" customFormat="1" ht="13.5" customHeight="1" x14ac:dyDescent="0.25">
      <c r="B243" s="6" t="s">
        <v>15</v>
      </c>
      <c r="C243" s="87" t="str">
        <f t="shared" si="22"/>
        <v/>
      </c>
      <c r="D243" s="2" t="str" cm="1">
        <f t="array" ref="D243">_xll.RssMarket(C243, "銘柄名称")</f>
        <v/>
      </c>
      <c r="E243" s="2" t="str" cm="1">
        <f t="array" ref="E243">_xll.RssMarket(C243, "現在日付")</f>
        <v/>
      </c>
      <c r="F243" s="10" t="str">
        <f t="shared" ca="1" si="23"/>
        <v/>
      </c>
      <c r="G243" s="3"/>
      <c r="H243" s="4"/>
      <c r="I243" s="4"/>
      <c r="J243" s="5">
        <f t="shared" si="24"/>
        <v>0</v>
      </c>
      <c r="K243" s="4"/>
      <c r="L243" s="5">
        <f t="shared" si="25"/>
        <v>0</v>
      </c>
      <c r="M243" s="25" t="str">
        <f t="shared" si="26"/>
        <v>\0</v>
      </c>
      <c r="N243" s="23" t="str">
        <f t="shared" si="27"/>
        <v>データなし</v>
      </c>
      <c r="O243" s="24" t="str">
        <f>IF(MID(E243,3,1)=".",
   IF(OR(LEFT(E243,5)=LEFT(E244,5),LEFT(E243,5)=TEXT(E244,"mm.dd")),"",SUM($M$8:M243)-SUM($O$8:O242)),
   IF(OR(TEXT(E243,"mm.dd")=LEFT(E244,5),TEXT(E243,"mm.dd")=TEXT(E244,"mm.dd")),"",SUM($M$8:M243)-SUM($O$8:O242)))</f>
        <v/>
      </c>
    </row>
    <row r="244" spans="2:15" s="6" customFormat="1" ht="13.5" customHeight="1" x14ac:dyDescent="0.25">
      <c r="B244" s="6" t="s">
        <v>15</v>
      </c>
      <c r="C244" s="87" t="str">
        <f t="shared" si="22"/>
        <v/>
      </c>
      <c r="D244" s="2" t="str" cm="1">
        <f t="array" ref="D244">_xll.RssMarket(C244, "銘柄名称")</f>
        <v/>
      </c>
      <c r="E244" s="2" t="str" cm="1">
        <f t="array" ref="E244">_xll.RssMarket(C244, "現在日付")</f>
        <v/>
      </c>
      <c r="F244" s="10" t="str">
        <f t="shared" ca="1" si="23"/>
        <v/>
      </c>
      <c r="G244" s="3"/>
      <c r="H244" s="4"/>
      <c r="I244" s="4"/>
      <c r="J244" s="5">
        <f t="shared" si="24"/>
        <v>0</v>
      </c>
      <c r="K244" s="4"/>
      <c r="L244" s="5">
        <f t="shared" si="25"/>
        <v>0</v>
      </c>
      <c r="M244" s="25" t="str">
        <f t="shared" si="26"/>
        <v>\0</v>
      </c>
      <c r="N244" s="23" t="str">
        <f t="shared" si="27"/>
        <v>データなし</v>
      </c>
      <c r="O244" s="24" t="str">
        <f>IF(MID(E244,3,1)=".",
   IF(OR(LEFT(E244,5)=LEFT(E245,5),LEFT(E244,5)=TEXT(E245,"mm.dd")),"",SUM($M$8:M244)-SUM($O$8:O243)),
   IF(OR(TEXT(E244,"mm.dd")=LEFT(E245,5),TEXT(E244,"mm.dd")=TEXT(E245,"mm.dd")),"",SUM($M$8:M244)-SUM($O$8:O243)))</f>
        <v/>
      </c>
    </row>
    <row r="245" spans="2:15" s="6" customFormat="1" ht="13.5" customHeight="1" x14ac:dyDescent="0.25">
      <c r="B245" s="6" t="s">
        <v>15</v>
      </c>
      <c r="C245" s="87" t="str">
        <f t="shared" si="22"/>
        <v/>
      </c>
      <c r="D245" s="2" t="str" cm="1">
        <f t="array" ref="D245">_xll.RssMarket(C245, "銘柄名称")</f>
        <v/>
      </c>
      <c r="E245" s="2" t="str" cm="1">
        <f t="array" ref="E245">_xll.RssMarket(C245, "現在日付")</f>
        <v/>
      </c>
      <c r="F245" s="10" t="str">
        <f t="shared" ca="1" si="23"/>
        <v/>
      </c>
      <c r="G245" s="3"/>
      <c r="H245" s="4"/>
      <c r="I245" s="4"/>
      <c r="J245" s="5">
        <f t="shared" si="24"/>
        <v>0</v>
      </c>
      <c r="K245" s="4"/>
      <c r="L245" s="5">
        <f t="shared" si="25"/>
        <v>0</v>
      </c>
      <c r="M245" s="25" t="str">
        <f t="shared" si="26"/>
        <v>\0</v>
      </c>
      <c r="N245" s="23" t="str">
        <f t="shared" si="27"/>
        <v>データなし</v>
      </c>
      <c r="O245" s="24" t="str">
        <f>IF(MID(E245,3,1)=".",
   IF(OR(LEFT(E245,5)=LEFT(E246,5),LEFT(E245,5)=TEXT(E246,"mm.dd")),"",SUM($M$8:M245)-SUM($O$8:O244)),
   IF(OR(TEXT(E245,"mm.dd")=LEFT(E246,5),TEXT(E245,"mm.dd")=TEXT(E246,"mm.dd")),"",SUM($M$8:M245)-SUM($O$8:O244)))</f>
        <v/>
      </c>
    </row>
    <row r="246" spans="2:15" s="6" customFormat="1" ht="13.5" customHeight="1" x14ac:dyDescent="0.25">
      <c r="B246" s="6" t="s">
        <v>15</v>
      </c>
      <c r="C246" s="87" t="str">
        <f t="shared" si="22"/>
        <v/>
      </c>
      <c r="D246" s="2" t="str" cm="1">
        <f t="array" ref="D246">_xll.RssMarket(C246, "銘柄名称")</f>
        <v/>
      </c>
      <c r="E246" s="2" t="str" cm="1">
        <f t="array" ref="E246">_xll.RssMarket(C246, "現在日付")</f>
        <v/>
      </c>
      <c r="F246" s="10" t="str">
        <f t="shared" ca="1" si="23"/>
        <v/>
      </c>
      <c r="G246" s="3"/>
      <c r="H246" s="4"/>
      <c r="I246" s="4"/>
      <c r="J246" s="5">
        <f t="shared" si="24"/>
        <v>0</v>
      </c>
      <c r="K246" s="4"/>
      <c r="L246" s="5">
        <f t="shared" si="25"/>
        <v>0</v>
      </c>
      <c r="M246" s="25" t="str">
        <f t="shared" si="26"/>
        <v>\0</v>
      </c>
      <c r="N246" s="23" t="str">
        <f t="shared" si="27"/>
        <v>データなし</v>
      </c>
      <c r="O246" s="24" t="str">
        <f>IF(MID(E246,3,1)=".",
   IF(OR(LEFT(E246,5)=LEFT(E247,5),LEFT(E246,5)=TEXT(E247,"mm.dd")),"",SUM($M$8:M246)-SUM($O$8:O245)),
   IF(OR(TEXT(E246,"mm.dd")=LEFT(E247,5),TEXT(E246,"mm.dd")=TEXT(E247,"mm.dd")),"",SUM($M$8:M246)-SUM($O$8:O245)))</f>
        <v/>
      </c>
    </row>
    <row r="247" spans="2:15" s="6" customFormat="1" ht="13.5" customHeight="1" x14ac:dyDescent="0.25">
      <c r="B247" s="6" t="s">
        <v>15</v>
      </c>
      <c r="C247" s="87" t="str">
        <f t="shared" si="22"/>
        <v/>
      </c>
      <c r="D247" s="2" t="str" cm="1">
        <f t="array" ref="D247">_xll.RssMarket(C247, "銘柄名称")</f>
        <v/>
      </c>
      <c r="E247" s="2" t="str" cm="1">
        <f t="array" ref="E247">_xll.RssMarket(C247, "現在日付")</f>
        <v/>
      </c>
      <c r="F247" s="10" t="str">
        <f t="shared" ca="1" si="23"/>
        <v/>
      </c>
      <c r="G247" s="3"/>
      <c r="H247" s="4"/>
      <c r="I247" s="4"/>
      <c r="J247" s="5">
        <f t="shared" si="24"/>
        <v>0</v>
      </c>
      <c r="K247" s="4"/>
      <c r="L247" s="5">
        <f t="shared" si="25"/>
        <v>0</v>
      </c>
      <c r="M247" s="25" t="str">
        <f t="shared" si="26"/>
        <v>\0</v>
      </c>
      <c r="N247" s="23" t="str">
        <f t="shared" si="27"/>
        <v>データなし</v>
      </c>
      <c r="O247" s="24" t="str">
        <f>IF(MID(E247,3,1)=".",
   IF(OR(LEFT(E247,5)=LEFT(E248,5),LEFT(E247,5)=TEXT(E248,"mm.dd")),"",SUM($M$8:M247)-SUM($O$8:O246)),
   IF(OR(TEXT(E247,"mm.dd")=LEFT(E248,5),TEXT(E247,"mm.dd")=TEXT(E248,"mm.dd")),"",SUM($M$8:M247)-SUM($O$8:O246)))</f>
        <v/>
      </c>
    </row>
    <row r="248" spans="2:15" s="6" customFormat="1" ht="13.5" customHeight="1" x14ac:dyDescent="0.25">
      <c r="B248" s="6" t="s">
        <v>15</v>
      </c>
      <c r="C248" s="87" t="str">
        <f t="shared" si="22"/>
        <v/>
      </c>
      <c r="D248" s="2" t="str" cm="1">
        <f t="array" ref="D248">_xll.RssMarket(C248, "銘柄名称")</f>
        <v/>
      </c>
      <c r="E248" s="2" t="str" cm="1">
        <f t="array" ref="E248">_xll.RssMarket(C248, "現在日付")</f>
        <v/>
      </c>
      <c r="F248" s="10" t="str">
        <f t="shared" ca="1" si="23"/>
        <v/>
      </c>
      <c r="G248" s="3"/>
      <c r="H248" s="4"/>
      <c r="I248" s="4"/>
      <c r="J248" s="5">
        <f t="shared" si="24"/>
        <v>0</v>
      </c>
      <c r="K248" s="4"/>
      <c r="L248" s="5">
        <f t="shared" si="25"/>
        <v>0</v>
      </c>
      <c r="M248" s="25" t="str">
        <f t="shared" si="26"/>
        <v>\0</v>
      </c>
      <c r="N248" s="23" t="str">
        <f t="shared" si="27"/>
        <v>データなし</v>
      </c>
      <c r="O248" s="24" t="str">
        <f>IF(MID(E248,3,1)=".",
   IF(OR(LEFT(E248,5)=LEFT(E249,5),LEFT(E248,5)=TEXT(E249,"mm.dd")),"",SUM($M$8:M248)-SUM($O$8:O247)),
   IF(OR(TEXT(E248,"mm.dd")=LEFT(E249,5),TEXT(E248,"mm.dd")=TEXT(E249,"mm.dd")),"",SUM($M$8:M248)-SUM($O$8:O247)))</f>
        <v/>
      </c>
    </row>
    <row r="249" spans="2:15" s="6" customFormat="1" ht="13.5" customHeight="1" x14ac:dyDescent="0.25">
      <c r="B249" s="6" t="s">
        <v>15</v>
      </c>
      <c r="C249" s="87" t="str">
        <f t="shared" si="22"/>
        <v/>
      </c>
      <c r="D249" s="2" t="str" cm="1">
        <f t="array" ref="D249">_xll.RssMarket(C249, "銘柄名称")</f>
        <v/>
      </c>
      <c r="E249" s="2" t="str" cm="1">
        <f t="array" ref="E249">_xll.RssMarket(C249, "現在日付")</f>
        <v/>
      </c>
      <c r="F249" s="10" t="str">
        <f t="shared" ca="1" si="23"/>
        <v/>
      </c>
      <c r="G249" s="3"/>
      <c r="H249" s="4"/>
      <c r="I249" s="4"/>
      <c r="J249" s="5">
        <f t="shared" si="24"/>
        <v>0</v>
      </c>
      <c r="K249" s="4"/>
      <c r="L249" s="5">
        <f t="shared" si="25"/>
        <v>0</v>
      </c>
      <c r="M249" s="25" t="str">
        <f t="shared" si="26"/>
        <v>\0</v>
      </c>
      <c r="N249" s="23" t="str">
        <f t="shared" si="27"/>
        <v>データなし</v>
      </c>
      <c r="O249" s="24" t="str">
        <f>IF(MID(E249,3,1)=".",
   IF(OR(LEFT(E249,5)=LEFT(E250,5),LEFT(E249,5)=TEXT(E250,"mm.dd")),"",SUM($M$8:M249)-SUM($O$8:O248)),
   IF(OR(TEXT(E249,"mm.dd")=LEFT(E250,5),TEXT(E249,"mm.dd")=TEXT(E250,"mm.dd")),"",SUM($M$8:M249)-SUM($O$8:O248)))</f>
        <v/>
      </c>
    </row>
    <row r="250" spans="2:15" s="6" customFormat="1" ht="13.5" customHeight="1" x14ac:dyDescent="0.25">
      <c r="B250" s="6" t="s">
        <v>15</v>
      </c>
      <c r="C250" s="87" t="str">
        <f t="shared" si="22"/>
        <v/>
      </c>
      <c r="D250" s="2" t="str" cm="1">
        <f t="array" ref="D250">_xll.RssMarket(C250, "銘柄名称")</f>
        <v/>
      </c>
      <c r="E250" s="2" t="str" cm="1">
        <f t="array" ref="E250">_xll.RssMarket(C250, "現在日付")</f>
        <v/>
      </c>
      <c r="F250" s="10" t="str">
        <f t="shared" ca="1" si="23"/>
        <v/>
      </c>
      <c r="G250" s="3"/>
      <c r="H250" s="4"/>
      <c r="I250" s="4"/>
      <c r="J250" s="5">
        <f t="shared" si="24"/>
        <v>0</v>
      </c>
      <c r="K250" s="4"/>
      <c r="L250" s="5">
        <f t="shared" si="25"/>
        <v>0</v>
      </c>
      <c r="M250" s="25" t="str">
        <f t="shared" si="26"/>
        <v>\0</v>
      </c>
      <c r="N250" s="23" t="str">
        <f t="shared" si="27"/>
        <v>データなし</v>
      </c>
      <c r="O250" s="24" t="str">
        <f>IF(MID(E250,3,1)=".",
   IF(OR(LEFT(E250,5)=LEFT(E251,5),LEFT(E250,5)=TEXT(E251,"mm.dd")),"",SUM($M$8:M250)-SUM($O$8:O249)),
   IF(OR(TEXT(E250,"mm.dd")=LEFT(E251,5),TEXT(E250,"mm.dd")=TEXT(E251,"mm.dd")),"",SUM($M$8:M250)-SUM($O$8:O249)))</f>
        <v/>
      </c>
    </row>
    <row r="251" spans="2:15" s="6" customFormat="1" ht="13.5" customHeight="1" x14ac:dyDescent="0.25">
      <c r="B251" s="6" t="s">
        <v>15</v>
      </c>
      <c r="C251" s="87" t="str">
        <f t="shared" si="22"/>
        <v/>
      </c>
      <c r="D251" s="2" t="str" cm="1">
        <f t="array" ref="D251">_xll.RssMarket(C251, "銘柄名称")</f>
        <v/>
      </c>
      <c r="E251" s="2" t="str" cm="1">
        <f t="array" ref="E251">_xll.RssMarket(C251, "現在日付")</f>
        <v/>
      </c>
      <c r="F251" s="10" t="str">
        <f t="shared" ca="1" si="23"/>
        <v/>
      </c>
      <c r="G251" s="3"/>
      <c r="H251" s="4"/>
      <c r="I251" s="4"/>
      <c r="J251" s="5">
        <f t="shared" si="24"/>
        <v>0</v>
      </c>
      <c r="K251" s="4"/>
      <c r="L251" s="5">
        <f t="shared" si="25"/>
        <v>0</v>
      </c>
      <c r="M251" s="25" t="str">
        <f t="shared" si="26"/>
        <v>\0</v>
      </c>
      <c r="N251" s="23" t="str">
        <f t="shared" si="27"/>
        <v>データなし</v>
      </c>
      <c r="O251" s="24" t="str">
        <f>IF(MID(E251,3,1)=".",
   IF(OR(LEFT(E251,5)=LEFT(E252,5),LEFT(E251,5)=TEXT(E252,"mm.dd")),"",SUM($M$8:M251)-SUM($O$8:O250)),
   IF(OR(TEXT(E251,"mm.dd")=LEFT(E252,5),TEXT(E251,"mm.dd")=TEXT(E252,"mm.dd")),"",SUM($M$8:M251)-SUM($O$8:O250)))</f>
        <v/>
      </c>
    </row>
    <row r="252" spans="2:15" s="6" customFormat="1" ht="13.5" customHeight="1" x14ac:dyDescent="0.25">
      <c r="B252" s="6" t="s">
        <v>15</v>
      </c>
      <c r="C252" s="87" t="str">
        <f t="shared" si="22"/>
        <v/>
      </c>
      <c r="D252" s="2" t="str" cm="1">
        <f t="array" ref="D252">_xll.RssMarket(C252, "銘柄名称")</f>
        <v/>
      </c>
      <c r="E252" s="2" t="str" cm="1">
        <f t="array" ref="E252">_xll.RssMarket(C252, "現在日付")</f>
        <v/>
      </c>
      <c r="F252" s="10" t="str">
        <f t="shared" ca="1" si="23"/>
        <v/>
      </c>
      <c r="G252" s="3"/>
      <c r="H252" s="4"/>
      <c r="I252" s="4"/>
      <c r="J252" s="5">
        <f t="shared" si="24"/>
        <v>0</v>
      </c>
      <c r="K252" s="4"/>
      <c r="L252" s="5">
        <f t="shared" si="25"/>
        <v>0</v>
      </c>
      <c r="M252" s="25" t="str">
        <f t="shared" si="26"/>
        <v>\0</v>
      </c>
      <c r="N252" s="23" t="str">
        <f t="shared" si="27"/>
        <v>データなし</v>
      </c>
      <c r="O252" s="24" t="str">
        <f>IF(MID(E252,3,1)=".",
   IF(OR(LEFT(E252,5)=LEFT(E253,5),LEFT(E252,5)=TEXT(E253,"mm.dd")),"",SUM($M$8:M252)-SUM($O$8:O251)),
   IF(OR(TEXT(E252,"mm.dd")=LEFT(E253,5),TEXT(E252,"mm.dd")=TEXT(E253,"mm.dd")),"",SUM($M$8:M252)-SUM($O$8:O251)))</f>
        <v/>
      </c>
    </row>
    <row r="253" spans="2:15" s="6" customFormat="1" ht="13.5" customHeight="1" x14ac:dyDescent="0.25">
      <c r="B253" s="6" t="s">
        <v>15</v>
      </c>
      <c r="C253" s="87" t="str">
        <f t="shared" si="22"/>
        <v/>
      </c>
      <c r="D253" s="2" t="str" cm="1">
        <f t="array" ref="D253">_xll.RssMarket(C253, "銘柄名称")</f>
        <v/>
      </c>
      <c r="E253" s="2" t="str" cm="1">
        <f t="array" ref="E253">_xll.RssMarket(C253, "現在日付")</f>
        <v/>
      </c>
      <c r="F253" s="10" t="str">
        <f t="shared" ca="1" si="23"/>
        <v/>
      </c>
      <c r="G253" s="3"/>
      <c r="H253" s="4"/>
      <c r="I253" s="4"/>
      <c r="J253" s="5">
        <f t="shared" si="24"/>
        <v>0</v>
      </c>
      <c r="K253" s="4"/>
      <c r="L253" s="5">
        <f t="shared" si="25"/>
        <v>0</v>
      </c>
      <c r="M253" s="25" t="str">
        <f t="shared" si="26"/>
        <v>\0</v>
      </c>
      <c r="N253" s="23" t="str">
        <f t="shared" si="27"/>
        <v>データなし</v>
      </c>
      <c r="O253" s="24" t="str">
        <f>IF(MID(E253,3,1)=".",
   IF(OR(LEFT(E253,5)=LEFT(E254,5),LEFT(E253,5)=TEXT(E254,"mm.dd")),"",SUM($M$8:M253)-SUM($O$8:O252)),
   IF(OR(TEXT(E253,"mm.dd")=LEFT(E254,5),TEXT(E253,"mm.dd")=TEXT(E254,"mm.dd")),"",SUM($M$8:M253)-SUM($O$8:O252)))</f>
        <v/>
      </c>
    </row>
    <row r="254" spans="2:15" s="6" customFormat="1" ht="13.5" customHeight="1" x14ac:dyDescent="0.25">
      <c r="B254" s="6" t="s">
        <v>15</v>
      </c>
      <c r="C254" s="87" t="str">
        <f t="shared" si="22"/>
        <v/>
      </c>
      <c r="D254" s="2" t="str" cm="1">
        <f t="array" ref="D254">_xll.RssMarket(C254, "銘柄名称")</f>
        <v/>
      </c>
      <c r="E254" s="2" t="str" cm="1">
        <f t="array" ref="E254">_xll.RssMarket(C254, "現在日付")</f>
        <v/>
      </c>
      <c r="F254" s="10" t="str">
        <f t="shared" ca="1" si="23"/>
        <v/>
      </c>
      <c r="G254" s="3"/>
      <c r="H254" s="4"/>
      <c r="I254" s="4"/>
      <c r="J254" s="5">
        <f t="shared" si="24"/>
        <v>0</v>
      </c>
      <c r="K254" s="4"/>
      <c r="L254" s="5">
        <f t="shared" si="25"/>
        <v>0</v>
      </c>
      <c r="M254" s="25" t="str">
        <f t="shared" si="26"/>
        <v>\0</v>
      </c>
      <c r="N254" s="23" t="str">
        <f t="shared" si="27"/>
        <v>データなし</v>
      </c>
      <c r="O254" s="24" t="str">
        <f>IF(MID(E254,3,1)=".",
   IF(OR(LEFT(E254,5)=LEFT(E255,5),LEFT(E254,5)=TEXT(E255,"mm.dd")),"",SUM($M$8:M254)-SUM($O$8:O253)),
   IF(OR(TEXT(E254,"mm.dd")=LEFT(E255,5),TEXT(E254,"mm.dd")=TEXT(E255,"mm.dd")),"",SUM($M$8:M254)-SUM($O$8:O253)))</f>
        <v/>
      </c>
    </row>
    <row r="255" spans="2:15" s="6" customFormat="1" ht="13.5" customHeight="1" x14ac:dyDescent="0.25">
      <c r="B255" s="6" t="s">
        <v>15</v>
      </c>
      <c r="C255" s="87" t="str">
        <f t="shared" si="22"/>
        <v/>
      </c>
      <c r="D255" s="2" t="str" cm="1">
        <f t="array" ref="D255">_xll.RssMarket(C255, "銘柄名称")</f>
        <v/>
      </c>
      <c r="E255" s="2" t="str" cm="1">
        <f t="array" ref="E255">_xll.RssMarket(C255, "現在日付")</f>
        <v/>
      </c>
      <c r="F255" s="10" t="str">
        <f t="shared" ca="1" si="23"/>
        <v/>
      </c>
      <c r="G255" s="3"/>
      <c r="H255" s="4"/>
      <c r="I255" s="4"/>
      <c r="J255" s="5">
        <f t="shared" si="24"/>
        <v>0</v>
      </c>
      <c r="K255" s="4"/>
      <c r="L255" s="5">
        <f t="shared" si="25"/>
        <v>0</v>
      </c>
      <c r="M255" s="25" t="str">
        <f t="shared" si="26"/>
        <v>\0</v>
      </c>
      <c r="N255" s="23" t="str">
        <f t="shared" si="27"/>
        <v>データなし</v>
      </c>
      <c r="O255" s="24" t="str">
        <f>IF(MID(E255,3,1)=".",
   IF(OR(LEFT(E255,5)=LEFT(E256,5),LEFT(E255,5)=TEXT(E256,"mm.dd")),"",SUM($M$8:M255)-SUM($O$8:O254)),
   IF(OR(TEXT(E255,"mm.dd")=LEFT(E256,5),TEXT(E255,"mm.dd")=TEXT(E256,"mm.dd")),"",SUM($M$8:M255)-SUM($O$8:O254)))</f>
        <v/>
      </c>
    </row>
    <row r="256" spans="2:15" s="6" customFormat="1" ht="13.5" customHeight="1" x14ac:dyDescent="0.25">
      <c r="B256" s="6" t="s">
        <v>15</v>
      </c>
      <c r="C256" s="87" t="str">
        <f t="shared" si="22"/>
        <v/>
      </c>
      <c r="D256" s="2" t="str" cm="1">
        <f t="array" ref="D256">_xll.RssMarket(C256, "銘柄名称")</f>
        <v/>
      </c>
      <c r="E256" s="2" t="str" cm="1">
        <f t="array" ref="E256">_xll.RssMarket(C256, "現在日付")</f>
        <v/>
      </c>
      <c r="F256" s="10" t="str">
        <f t="shared" ca="1" si="23"/>
        <v/>
      </c>
      <c r="G256" s="3"/>
      <c r="H256" s="4"/>
      <c r="I256" s="4"/>
      <c r="J256" s="5">
        <f t="shared" si="24"/>
        <v>0</v>
      </c>
      <c r="K256" s="4"/>
      <c r="L256" s="5">
        <f t="shared" si="25"/>
        <v>0</v>
      </c>
      <c r="M256" s="25" t="str">
        <f t="shared" si="26"/>
        <v>\0</v>
      </c>
      <c r="N256" s="23" t="str">
        <f t="shared" si="27"/>
        <v>データなし</v>
      </c>
      <c r="O256" s="24" t="str">
        <f>IF(MID(E256,3,1)=".",
   IF(OR(LEFT(E256,5)=LEFT(E257,5),LEFT(E256,5)=TEXT(E257,"mm.dd")),"",SUM($M$8:M256)-SUM($O$8:O255)),
   IF(OR(TEXT(E256,"mm.dd")=LEFT(E257,5),TEXT(E256,"mm.dd")=TEXT(E257,"mm.dd")),"",SUM($M$8:M256)-SUM($O$8:O255)))</f>
        <v/>
      </c>
    </row>
    <row r="257" spans="2:15" s="6" customFormat="1" ht="13.5" customHeight="1" x14ac:dyDescent="0.25">
      <c r="B257" s="6" t="s">
        <v>15</v>
      </c>
      <c r="C257" s="87" t="str">
        <f t="shared" si="22"/>
        <v/>
      </c>
      <c r="D257" s="2" t="str" cm="1">
        <f t="array" ref="D257">_xll.RssMarket(C257, "銘柄名称")</f>
        <v/>
      </c>
      <c r="E257" s="2" t="str" cm="1">
        <f t="array" ref="E257">_xll.RssMarket(C257, "現在日付")</f>
        <v/>
      </c>
      <c r="F257" s="10" t="str">
        <f t="shared" ca="1" si="23"/>
        <v/>
      </c>
      <c r="G257" s="3"/>
      <c r="H257" s="4"/>
      <c r="I257" s="4"/>
      <c r="J257" s="5">
        <f t="shared" si="24"/>
        <v>0</v>
      </c>
      <c r="K257" s="4"/>
      <c r="L257" s="5">
        <f t="shared" si="25"/>
        <v>0</v>
      </c>
      <c r="M257" s="25" t="str">
        <f t="shared" si="26"/>
        <v>\0</v>
      </c>
      <c r="N257" s="23" t="str">
        <f t="shared" si="27"/>
        <v>データなし</v>
      </c>
      <c r="O257" s="24" t="str">
        <f>IF(MID(E257,3,1)=".",
   IF(OR(LEFT(E257,5)=LEFT(E258,5),LEFT(E257,5)=TEXT(E258,"mm.dd")),"",SUM($M$8:M257)-SUM($O$8:O256)),
   IF(OR(TEXT(E257,"mm.dd")=LEFT(E258,5),TEXT(E257,"mm.dd")=TEXT(E258,"mm.dd")),"",SUM($M$8:M257)-SUM($O$8:O256)))</f>
        <v/>
      </c>
    </row>
    <row r="258" spans="2:15" s="6" customFormat="1" ht="13.5" customHeight="1" x14ac:dyDescent="0.25">
      <c r="B258" s="6" t="s">
        <v>15</v>
      </c>
      <c r="C258" s="87" t="str">
        <f t="shared" si="22"/>
        <v/>
      </c>
      <c r="D258" s="2" t="str" cm="1">
        <f t="array" ref="D258">_xll.RssMarket(C258, "銘柄名称")</f>
        <v/>
      </c>
      <c r="E258" s="2" t="str" cm="1">
        <f t="array" ref="E258">_xll.RssMarket(C258, "現在日付")</f>
        <v/>
      </c>
      <c r="F258" s="10" t="str">
        <f t="shared" ca="1" si="23"/>
        <v/>
      </c>
      <c r="G258" s="3"/>
      <c r="H258" s="4"/>
      <c r="I258" s="4"/>
      <c r="J258" s="5">
        <f t="shared" si="24"/>
        <v>0</v>
      </c>
      <c r="K258" s="4"/>
      <c r="L258" s="5">
        <f t="shared" si="25"/>
        <v>0</v>
      </c>
      <c r="M258" s="25" t="str">
        <f t="shared" si="26"/>
        <v>\0</v>
      </c>
      <c r="N258" s="23" t="str">
        <f t="shared" si="27"/>
        <v>データなし</v>
      </c>
      <c r="O258" s="24" t="str">
        <f>IF(MID(E258,3,1)=".",
   IF(OR(LEFT(E258,5)=LEFT(E259,5),LEFT(E258,5)=TEXT(E259,"mm.dd")),"",SUM($M$8:M258)-SUM($O$8:O257)),
   IF(OR(TEXT(E258,"mm.dd")=LEFT(E259,5),TEXT(E258,"mm.dd")=TEXT(E259,"mm.dd")),"",SUM($M$8:M258)-SUM($O$8:O257)))</f>
        <v/>
      </c>
    </row>
    <row r="259" spans="2:15" s="6" customFormat="1" ht="13.5" customHeight="1" x14ac:dyDescent="0.25">
      <c r="B259" s="6" t="s">
        <v>15</v>
      </c>
      <c r="C259" s="87" t="str">
        <f t="shared" si="22"/>
        <v/>
      </c>
      <c r="D259" s="2" t="str" cm="1">
        <f t="array" ref="D259">_xll.RssMarket(C259, "銘柄名称")</f>
        <v/>
      </c>
      <c r="E259" s="2" t="str" cm="1">
        <f t="array" ref="E259">_xll.RssMarket(C259, "現在日付")</f>
        <v/>
      </c>
      <c r="F259" s="10" t="str">
        <f t="shared" ca="1" si="23"/>
        <v/>
      </c>
      <c r="G259" s="3"/>
      <c r="H259" s="4"/>
      <c r="I259" s="4"/>
      <c r="J259" s="5">
        <f t="shared" si="24"/>
        <v>0</v>
      </c>
      <c r="K259" s="4"/>
      <c r="L259" s="5">
        <f t="shared" si="25"/>
        <v>0</v>
      </c>
      <c r="M259" s="25" t="str">
        <f t="shared" si="26"/>
        <v>\0</v>
      </c>
      <c r="N259" s="23" t="str">
        <f t="shared" si="27"/>
        <v>データなし</v>
      </c>
      <c r="O259" s="24" t="str">
        <f>IF(MID(E259,3,1)=".",
   IF(OR(LEFT(E259,5)=LEFT(E260,5),LEFT(E259,5)=TEXT(E260,"mm.dd")),"",SUM($M$8:M259)-SUM($O$8:O258)),
   IF(OR(TEXT(E259,"mm.dd")=LEFT(E260,5),TEXT(E259,"mm.dd")=TEXT(E260,"mm.dd")),"",SUM($M$8:M259)-SUM($O$8:O258)))</f>
        <v/>
      </c>
    </row>
    <row r="260" spans="2:15" s="6" customFormat="1" ht="13.5" customHeight="1" x14ac:dyDescent="0.25">
      <c r="B260" s="6" t="s">
        <v>15</v>
      </c>
      <c r="C260" s="87" t="str">
        <f t="shared" si="22"/>
        <v/>
      </c>
      <c r="D260" s="2" t="str" cm="1">
        <f t="array" ref="D260">_xll.RssMarket(C260, "銘柄名称")</f>
        <v/>
      </c>
      <c r="E260" s="2" t="str" cm="1">
        <f t="array" ref="E260">_xll.RssMarket(C260, "現在日付")</f>
        <v/>
      </c>
      <c r="F260" s="10" t="str">
        <f t="shared" ca="1" si="23"/>
        <v/>
      </c>
      <c r="G260" s="3"/>
      <c r="H260" s="4"/>
      <c r="I260" s="4"/>
      <c r="J260" s="5">
        <f t="shared" si="24"/>
        <v>0</v>
      </c>
      <c r="K260" s="4"/>
      <c r="L260" s="5">
        <f t="shared" si="25"/>
        <v>0</v>
      </c>
      <c r="M260" s="25" t="str">
        <f t="shared" si="26"/>
        <v>\0</v>
      </c>
      <c r="N260" s="23" t="str">
        <f t="shared" si="27"/>
        <v>データなし</v>
      </c>
      <c r="O260" s="24" t="str">
        <f>IF(MID(E260,3,1)=".",
   IF(OR(LEFT(E260,5)=LEFT(E261,5),LEFT(E260,5)=TEXT(E261,"mm.dd")),"",SUM($M$8:M260)-SUM($O$8:O259)),
   IF(OR(TEXT(E260,"mm.dd")=LEFT(E261,5),TEXT(E260,"mm.dd")=TEXT(E261,"mm.dd")),"",SUM($M$8:M260)-SUM($O$8:O259)))</f>
        <v/>
      </c>
    </row>
    <row r="261" spans="2:15" s="6" customFormat="1" ht="13.5" customHeight="1" x14ac:dyDescent="0.25">
      <c r="B261" s="6" t="s">
        <v>15</v>
      </c>
      <c r="C261" s="87" t="str">
        <f t="shared" si="22"/>
        <v/>
      </c>
      <c r="D261" s="2" t="str" cm="1">
        <f t="array" ref="D261">_xll.RssMarket(C261, "銘柄名称")</f>
        <v/>
      </c>
      <c r="E261" s="2" t="str" cm="1">
        <f t="array" ref="E261">_xll.RssMarket(C261, "現在日付")</f>
        <v/>
      </c>
      <c r="F261" s="10" t="str">
        <f t="shared" ca="1" si="23"/>
        <v/>
      </c>
      <c r="G261" s="3"/>
      <c r="H261" s="4"/>
      <c r="I261" s="4"/>
      <c r="J261" s="5">
        <f t="shared" si="24"/>
        <v>0</v>
      </c>
      <c r="K261" s="4"/>
      <c r="L261" s="5">
        <f t="shared" si="25"/>
        <v>0</v>
      </c>
      <c r="M261" s="25" t="str">
        <f t="shared" si="26"/>
        <v>\0</v>
      </c>
      <c r="N261" s="23" t="str">
        <f t="shared" si="27"/>
        <v>データなし</v>
      </c>
      <c r="O261" s="24" t="str">
        <f>IF(MID(E261,3,1)=".",
   IF(OR(LEFT(E261,5)=LEFT(E262,5),LEFT(E261,5)=TEXT(E262,"mm.dd")),"",SUM($M$8:M261)-SUM($O$8:O260)),
   IF(OR(TEXT(E261,"mm.dd")=LEFT(E262,5),TEXT(E261,"mm.dd")=TEXT(E262,"mm.dd")),"",SUM($M$8:M261)-SUM($O$8:O260)))</f>
        <v/>
      </c>
    </row>
    <row r="262" spans="2:15" s="6" customFormat="1" ht="13.5" customHeight="1" x14ac:dyDescent="0.25">
      <c r="B262" s="6" t="s">
        <v>15</v>
      </c>
      <c r="C262" s="87" t="str">
        <f t="shared" si="22"/>
        <v/>
      </c>
      <c r="D262" s="2" t="str" cm="1">
        <f t="array" ref="D262">_xll.RssMarket(C262, "銘柄名称")</f>
        <v/>
      </c>
      <c r="E262" s="2" t="str" cm="1">
        <f t="array" ref="E262">_xll.RssMarket(C262, "現在日付")</f>
        <v/>
      </c>
      <c r="F262" s="10" t="str">
        <f t="shared" ca="1" si="23"/>
        <v/>
      </c>
      <c r="G262" s="3"/>
      <c r="H262" s="4"/>
      <c r="I262" s="4"/>
      <c r="J262" s="5">
        <f t="shared" si="24"/>
        <v>0</v>
      </c>
      <c r="K262" s="4"/>
      <c r="L262" s="5">
        <f t="shared" si="25"/>
        <v>0</v>
      </c>
      <c r="M262" s="25" t="str">
        <f t="shared" si="26"/>
        <v>\0</v>
      </c>
      <c r="N262" s="23" t="str">
        <f t="shared" si="27"/>
        <v>データなし</v>
      </c>
      <c r="O262" s="24" t="str">
        <f>IF(MID(E262,3,1)=".",
   IF(OR(LEFT(E262,5)=LEFT(E263,5),LEFT(E262,5)=TEXT(E263,"mm.dd")),"",SUM($M$8:M262)-SUM($O$8:O261)),
   IF(OR(TEXT(E262,"mm.dd")=LEFT(E263,5),TEXT(E262,"mm.dd")=TEXT(E263,"mm.dd")),"",SUM($M$8:M262)-SUM($O$8:O261)))</f>
        <v/>
      </c>
    </row>
    <row r="263" spans="2:15" s="6" customFormat="1" ht="13.5" customHeight="1" x14ac:dyDescent="0.25">
      <c r="B263" s="6" t="s">
        <v>15</v>
      </c>
      <c r="C263" s="87" t="str">
        <f t="shared" si="22"/>
        <v/>
      </c>
      <c r="D263" s="2" t="str" cm="1">
        <f t="array" ref="D263">_xll.RssMarket(C263, "銘柄名称")</f>
        <v/>
      </c>
      <c r="E263" s="2" t="str" cm="1">
        <f t="array" ref="E263">_xll.RssMarket(C263, "現在日付")</f>
        <v/>
      </c>
      <c r="F263" s="10" t="str">
        <f t="shared" ca="1" si="23"/>
        <v/>
      </c>
      <c r="G263" s="3"/>
      <c r="H263" s="4"/>
      <c r="I263" s="4"/>
      <c r="J263" s="5">
        <f t="shared" si="24"/>
        <v>0</v>
      </c>
      <c r="K263" s="4"/>
      <c r="L263" s="5">
        <f t="shared" si="25"/>
        <v>0</v>
      </c>
      <c r="M263" s="25" t="str">
        <f t="shared" si="26"/>
        <v>\0</v>
      </c>
      <c r="N263" s="23" t="str">
        <f t="shared" si="27"/>
        <v>データなし</v>
      </c>
      <c r="O263" s="24" t="str">
        <f>IF(MID(E263,3,1)=".",
   IF(OR(LEFT(E263,5)=LEFT(E264,5),LEFT(E263,5)=TEXT(E264,"mm.dd")),"",SUM($M$8:M263)-SUM($O$8:O262)),
   IF(OR(TEXT(E263,"mm.dd")=LEFT(E264,5),TEXT(E263,"mm.dd")=TEXT(E264,"mm.dd")),"",SUM($M$8:M263)-SUM($O$8:O262)))</f>
        <v/>
      </c>
    </row>
    <row r="264" spans="2:15" s="6" customFormat="1" ht="13.5" customHeight="1" x14ac:dyDescent="0.25">
      <c r="B264" s="6" t="s">
        <v>15</v>
      </c>
      <c r="C264" s="87" t="str">
        <f t="shared" si="22"/>
        <v/>
      </c>
      <c r="D264" s="2" t="str" cm="1">
        <f t="array" ref="D264">_xll.RssMarket(C264, "銘柄名称")</f>
        <v/>
      </c>
      <c r="E264" s="2" t="str" cm="1">
        <f t="array" ref="E264">_xll.RssMarket(C264, "現在日付")</f>
        <v/>
      </c>
      <c r="F264" s="10" t="str">
        <f t="shared" ca="1" si="23"/>
        <v/>
      </c>
      <c r="G264" s="3"/>
      <c r="H264" s="4"/>
      <c r="I264" s="4"/>
      <c r="J264" s="5">
        <f t="shared" si="24"/>
        <v>0</v>
      </c>
      <c r="K264" s="4"/>
      <c r="L264" s="5">
        <f t="shared" si="25"/>
        <v>0</v>
      </c>
      <c r="M264" s="25" t="str">
        <f t="shared" si="26"/>
        <v>\0</v>
      </c>
      <c r="N264" s="23" t="str">
        <f t="shared" si="27"/>
        <v>データなし</v>
      </c>
      <c r="O264" s="24" t="str">
        <f>IF(MID(E264,3,1)=".",
   IF(OR(LEFT(E264,5)=LEFT(E265,5),LEFT(E264,5)=TEXT(E265,"mm.dd")),"",SUM($M$8:M264)-SUM($O$8:O263)),
   IF(OR(TEXT(E264,"mm.dd")=LEFT(E265,5),TEXT(E264,"mm.dd")=TEXT(E265,"mm.dd")),"",SUM($M$8:M264)-SUM($O$8:O263)))</f>
        <v/>
      </c>
    </row>
    <row r="265" spans="2:15" s="6" customFormat="1" ht="13.5" customHeight="1" x14ac:dyDescent="0.25">
      <c r="B265" s="6" t="s">
        <v>15</v>
      </c>
      <c r="C265" s="87" t="str">
        <f t="shared" si="22"/>
        <v/>
      </c>
      <c r="D265" s="2" t="str" cm="1">
        <f t="array" ref="D265">_xll.RssMarket(C265, "銘柄名称")</f>
        <v/>
      </c>
      <c r="E265" s="2" t="str" cm="1">
        <f t="array" ref="E265">_xll.RssMarket(C265, "現在日付")</f>
        <v/>
      </c>
      <c r="F265" s="10" t="str">
        <f t="shared" ca="1" si="23"/>
        <v/>
      </c>
      <c r="G265" s="3"/>
      <c r="H265" s="4"/>
      <c r="I265" s="4"/>
      <c r="J265" s="5">
        <f t="shared" si="24"/>
        <v>0</v>
      </c>
      <c r="K265" s="4"/>
      <c r="L265" s="5">
        <f t="shared" si="25"/>
        <v>0</v>
      </c>
      <c r="M265" s="25" t="str">
        <f t="shared" si="26"/>
        <v>\0</v>
      </c>
      <c r="N265" s="23" t="str">
        <f t="shared" si="27"/>
        <v>データなし</v>
      </c>
      <c r="O265" s="24" t="str">
        <f>IF(MID(E265,3,1)=".",
   IF(OR(LEFT(E265,5)=LEFT(E266,5),LEFT(E265,5)=TEXT(E266,"mm.dd")),"",SUM($M$8:M265)-SUM($O$8:O264)),
   IF(OR(TEXT(E265,"mm.dd")=LEFT(E266,5),TEXT(E265,"mm.dd")=TEXT(E266,"mm.dd")),"",SUM($M$8:M265)-SUM($O$8:O264)))</f>
        <v/>
      </c>
    </row>
    <row r="266" spans="2:15" s="6" customFormat="1" ht="13.5" customHeight="1" x14ac:dyDescent="0.25">
      <c r="B266" s="6" t="s">
        <v>15</v>
      </c>
      <c r="C266" s="87" t="str">
        <f t="shared" si="22"/>
        <v/>
      </c>
      <c r="D266" s="2" t="str" cm="1">
        <f t="array" ref="D266">_xll.RssMarket(C266, "銘柄名称")</f>
        <v/>
      </c>
      <c r="E266" s="2" t="str" cm="1">
        <f t="array" ref="E266">_xll.RssMarket(C266, "現在日付")</f>
        <v/>
      </c>
      <c r="F266" s="10" t="str">
        <f t="shared" ca="1" si="23"/>
        <v/>
      </c>
      <c r="G266" s="3"/>
      <c r="H266" s="4"/>
      <c r="I266" s="4"/>
      <c r="J266" s="5">
        <f t="shared" si="24"/>
        <v>0</v>
      </c>
      <c r="K266" s="4"/>
      <c r="L266" s="5">
        <f t="shared" si="25"/>
        <v>0</v>
      </c>
      <c r="M266" s="25" t="str">
        <f t="shared" si="26"/>
        <v>\0</v>
      </c>
      <c r="N266" s="23" t="str">
        <f t="shared" si="27"/>
        <v>データなし</v>
      </c>
      <c r="O266" s="24" t="str">
        <f>IF(MID(E266,3,1)=".",
   IF(OR(LEFT(E266,5)=LEFT(E267,5),LEFT(E266,5)=TEXT(E267,"mm.dd")),"",SUM($M$8:M266)-SUM($O$8:O265)),
   IF(OR(TEXT(E266,"mm.dd")=LEFT(E267,5),TEXT(E266,"mm.dd")=TEXT(E267,"mm.dd")),"",SUM($M$8:M266)-SUM($O$8:O265)))</f>
        <v/>
      </c>
    </row>
    <row r="267" spans="2:15" s="6" customFormat="1" ht="13.5" customHeight="1" x14ac:dyDescent="0.25">
      <c r="B267" s="6" t="s">
        <v>15</v>
      </c>
      <c r="C267" s="87" t="str">
        <f t="shared" si="22"/>
        <v/>
      </c>
      <c r="D267" s="2" t="str" cm="1">
        <f t="array" ref="D267">_xll.RssMarket(C267, "銘柄名称")</f>
        <v/>
      </c>
      <c r="E267" s="2" t="str" cm="1">
        <f t="array" ref="E267">_xll.RssMarket(C267, "現在日付")</f>
        <v/>
      </c>
      <c r="F267" s="10" t="str">
        <f t="shared" ca="1" si="23"/>
        <v/>
      </c>
      <c r="G267" s="3"/>
      <c r="H267" s="4"/>
      <c r="I267" s="4"/>
      <c r="J267" s="5">
        <f t="shared" si="24"/>
        <v>0</v>
      </c>
      <c r="K267" s="4"/>
      <c r="L267" s="5">
        <f t="shared" si="25"/>
        <v>0</v>
      </c>
      <c r="M267" s="25" t="str">
        <f t="shared" si="26"/>
        <v>\0</v>
      </c>
      <c r="N267" s="23" t="str">
        <f t="shared" si="27"/>
        <v>データなし</v>
      </c>
      <c r="O267" s="24" t="str">
        <f>IF(MID(E267,3,1)=".",
   IF(OR(LEFT(E267,5)=LEFT(E268,5),LEFT(E267,5)=TEXT(E268,"mm.dd")),"",SUM($M$8:M267)-SUM($O$8:O266)),
   IF(OR(TEXT(E267,"mm.dd")=LEFT(E268,5),TEXT(E267,"mm.dd")=TEXT(E268,"mm.dd")),"",SUM($M$8:M267)-SUM($O$8:O266)))</f>
        <v/>
      </c>
    </row>
    <row r="268" spans="2:15" s="6" customFormat="1" ht="13.5" customHeight="1" x14ac:dyDescent="0.25">
      <c r="B268" s="6" t="s">
        <v>15</v>
      </c>
      <c r="C268" s="87" t="str">
        <f t="shared" si="22"/>
        <v/>
      </c>
      <c r="D268" s="2" t="str" cm="1">
        <f t="array" ref="D268">_xll.RssMarket(C268, "銘柄名称")</f>
        <v/>
      </c>
      <c r="E268" s="2" t="str" cm="1">
        <f t="array" ref="E268">_xll.RssMarket(C268, "現在日付")</f>
        <v/>
      </c>
      <c r="F268" s="10" t="str">
        <f t="shared" ca="1" si="23"/>
        <v/>
      </c>
      <c r="G268" s="3"/>
      <c r="H268" s="4"/>
      <c r="I268" s="4"/>
      <c r="J268" s="5">
        <f t="shared" si="24"/>
        <v>0</v>
      </c>
      <c r="K268" s="4"/>
      <c r="L268" s="5">
        <f t="shared" si="25"/>
        <v>0</v>
      </c>
      <c r="M268" s="25" t="str">
        <f t="shared" si="26"/>
        <v>\0</v>
      </c>
      <c r="N268" s="23" t="str">
        <f t="shared" si="27"/>
        <v>データなし</v>
      </c>
      <c r="O268" s="24" t="str">
        <f>IF(MID(E268,3,1)=".",
   IF(OR(LEFT(E268,5)=LEFT(E269,5),LEFT(E268,5)=TEXT(E269,"mm.dd")),"",SUM($M$8:M268)-SUM($O$8:O267)),
   IF(OR(TEXT(E268,"mm.dd")=LEFT(E269,5),TEXT(E268,"mm.dd")=TEXT(E269,"mm.dd")),"",SUM($M$8:M268)-SUM($O$8:O267)))</f>
        <v/>
      </c>
    </row>
    <row r="269" spans="2:15" s="6" customFormat="1" ht="13.5" customHeight="1" x14ac:dyDescent="0.25">
      <c r="B269" s="6" t="s">
        <v>15</v>
      </c>
      <c r="C269" s="87" t="str">
        <f t="shared" si="22"/>
        <v/>
      </c>
      <c r="D269" s="2" t="str" cm="1">
        <f t="array" ref="D269">_xll.RssMarket(C269, "銘柄名称")</f>
        <v/>
      </c>
      <c r="E269" s="2" t="str" cm="1">
        <f t="array" ref="E269">_xll.RssMarket(C269, "現在日付")</f>
        <v/>
      </c>
      <c r="F269" s="10" t="str">
        <f t="shared" ca="1" si="23"/>
        <v/>
      </c>
      <c r="G269" s="3"/>
      <c r="H269" s="4"/>
      <c r="I269" s="4"/>
      <c r="J269" s="5">
        <f t="shared" si="24"/>
        <v>0</v>
      </c>
      <c r="K269" s="4"/>
      <c r="L269" s="5">
        <f t="shared" si="25"/>
        <v>0</v>
      </c>
      <c r="M269" s="25" t="str">
        <f t="shared" si="26"/>
        <v>\0</v>
      </c>
      <c r="N269" s="23" t="str">
        <f t="shared" si="27"/>
        <v>データなし</v>
      </c>
      <c r="O269" s="24" t="str">
        <f>IF(MID(E269,3,1)=".",
   IF(OR(LEFT(E269,5)=LEFT(E270,5),LEFT(E269,5)=TEXT(E270,"mm.dd")),"",SUM($M$8:M269)-SUM($O$8:O268)),
   IF(OR(TEXT(E269,"mm.dd")=LEFT(E270,5),TEXT(E269,"mm.dd")=TEXT(E270,"mm.dd")),"",SUM($M$8:M269)-SUM($O$8:O268)))</f>
        <v/>
      </c>
    </row>
    <row r="270" spans="2:15" s="6" customFormat="1" ht="13.5" customHeight="1" x14ac:dyDescent="0.25">
      <c r="B270" s="6" t="s">
        <v>15</v>
      </c>
      <c r="C270" s="87" t="str">
        <f t="shared" si="22"/>
        <v/>
      </c>
      <c r="D270" s="2" t="str" cm="1">
        <f t="array" ref="D270">_xll.RssMarket(C270, "銘柄名称")</f>
        <v/>
      </c>
      <c r="E270" s="2" t="str" cm="1">
        <f t="array" ref="E270">_xll.RssMarket(C270, "現在日付")</f>
        <v/>
      </c>
      <c r="F270" s="10" t="str">
        <f t="shared" ca="1" si="23"/>
        <v/>
      </c>
      <c r="G270" s="3"/>
      <c r="H270" s="4"/>
      <c r="I270" s="4"/>
      <c r="J270" s="5">
        <f t="shared" si="24"/>
        <v>0</v>
      </c>
      <c r="K270" s="4"/>
      <c r="L270" s="5">
        <f t="shared" si="25"/>
        <v>0</v>
      </c>
      <c r="M270" s="25" t="str">
        <f t="shared" si="26"/>
        <v>\0</v>
      </c>
      <c r="N270" s="23" t="str">
        <f t="shared" si="27"/>
        <v>データなし</v>
      </c>
      <c r="O270" s="24" t="str">
        <f>IF(MID(E270,3,1)=".",
   IF(OR(LEFT(E270,5)=LEFT(E271,5),LEFT(E270,5)=TEXT(E271,"mm.dd")),"",SUM($M$8:M270)-SUM($O$8:O269)),
   IF(OR(TEXT(E270,"mm.dd")=LEFT(E271,5),TEXT(E270,"mm.dd")=TEXT(E271,"mm.dd")),"",SUM($M$8:M270)-SUM($O$8:O269)))</f>
        <v/>
      </c>
    </row>
    <row r="271" spans="2:15" s="6" customFormat="1" ht="13.5" customHeight="1" x14ac:dyDescent="0.25">
      <c r="B271" s="6" t="s">
        <v>15</v>
      </c>
      <c r="C271" s="87" t="str">
        <f t="shared" si="22"/>
        <v/>
      </c>
      <c r="D271" s="2" t="str" cm="1">
        <f t="array" ref="D271">_xll.RssMarket(C271, "銘柄名称")</f>
        <v/>
      </c>
      <c r="E271" s="2" t="str" cm="1">
        <f t="array" ref="E271">_xll.RssMarket(C271, "現在日付")</f>
        <v/>
      </c>
      <c r="F271" s="10" t="str">
        <f t="shared" ca="1" si="23"/>
        <v/>
      </c>
      <c r="G271" s="3"/>
      <c r="H271" s="4"/>
      <c r="I271" s="4"/>
      <c r="J271" s="5">
        <f t="shared" si="24"/>
        <v>0</v>
      </c>
      <c r="K271" s="4"/>
      <c r="L271" s="5">
        <f t="shared" si="25"/>
        <v>0</v>
      </c>
      <c r="M271" s="25" t="str">
        <f t="shared" si="26"/>
        <v>\0</v>
      </c>
      <c r="N271" s="23" t="str">
        <f t="shared" si="27"/>
        <v>データなし</v>
      </c>
      <c r="O271" s="24" t="str">
        <f>IF(MID(E271,3,1)=".",
   IF(OR(LEFT(E271,5)=LEFT(E272,5),LEFT(E271,5)=TEXT(E272,"mm.dd")),"",SUM($M$8:M271)-SUM($O$8:O270)),
   IF(OR(TEXT(E271,"mm.dd")=LEFT(E272,5),TEXT(E271,"mm.dd")=TEXT(E272,"mm.dd")),"",SUM($M$8:M271)-SUM($O$8:O270)))</f>
        <v/>
      </c>
    </row>
    <row r="272" spans="2:15" s="6" customFormat="1" ht="13.5" customHeight="1" x14ac:dyDescent="0.25">
      <c r="B272" s="6" t="s">
        <v>15</v>
      </c>
      <c r="C272" s="87" t="str">
        <f t="shared" si="22"/>
        <v/>
      </c>
      <c r="D272" s="2" t="str" cm="1">
        <f t="array" ref="D272">_xll.RssMarket(C272, "銘柄名称")</f>
        <v/>
      </c>
      <c r="E272" s="2" t="str" cm="1">
        <f t="array" ref="E272">_xll.RssMarket(C272, "現在日付")</f>
        <v/>
      </c>
      <c r="F272" s="10" t="str">
        <f t="shared" ca="1" si="23"/>
        <v/>
      </c>
      <c r="G272" s="3"/>
      <c r="H272" s="4"/>
      <c r="I272" s="4"/>
      <c r="J272" s="5">
        <f t="shared" si="24"/>
        <v>0</v>
      </c>
      <c r="K272" s="4"/>
      <c r="L272" s="5">
        <f t="shared" si="25"/>
        <v>0</v>
      </c>
      <c r="M272" s="25" t="str">
        <f t="shared" si="26"/>
        <v>\0</v>
      </c>
      <c r="N272" s="23" t="str">
        <f t="shared" si="27"/>
        <v>データなし</v>
      </c>
      <c r="O272" s="24" t="str">
        <f>IF(MID(E272,3,1)=".",
   IF(OR(LEFT(E272,5)=LEFT(E273,5),LEFT(E272,5)=TEXT(E273,"mm.dd")),"",SUM($M$8:M272)-SUM($O$8:O271)),
   IF(OR(TEXT(E272,"mm.dd")=LEFT(E273,5),TEXT(E272,"mm.dd")=TEXT(E273,"mm.dd")),"",SUM($M$8:M272)-SUM($O$8:O271)))</f>
        <v/>
      </c>
    </row>
    <row r="273" spans="2:15" s="6" customFormat="1" ht="13.5" customHeight="1" x14ac:dyDescent="0.25">
      <c r="B273" s="6" t="s">
        <v>15</v>
      </c>
      <c r="C273" s="87" t="str">
        <f t="shared" si="22"/>
        <v/>
      </c>
      <c r="D273" s="2" t="str" cm="1">
        <f t="array" ref="D273">_xll.RssMarket(C273, "銘柄名称")</f>
        <v/>
      </c>
      <c r="E273" s="2" t="str" cm="1">
        <f t="array" ref="E273">_xll.RssMarket(C273, "現在日付")</f>
        <v/>
      </c>
      <c r="F273" s="10" t="str">
        <f t="shared" ca="1" si="23"/>
        <v/>
      </c>
      <c r="G273" s="3"/>
      <c r="H273" s="4"/>
      <c r="I273" s="4"/>
      <c r="J273" s="5">
        <f t="shared" si="24"/>
        <v>0</v>
      </c>
      <c r="K273" s="4"/>
      <c r="L273" s="5">
        <f t="shared" si="25"/>
        <v>0</v>
      </c>
      <c r="M273" s="25" t="str">
        <f t="shared" si="26"/>
        <v>\0</v>
      </c>
      <c r="N273" s="23" t="str">
        <f t="shared" si="27"/>
        <v>データなし</v>
      </c>
      <c r="O273" s="24" t="str">
        <f>IF(MID(E273,3,1)=".",
   IF(OR(LEFT(E273,5)=LEFT(E274,5),LEFT(E273,5)=TEXT(E274,"mm.dd")),"",SUM($M$8:M273)-SUM($O$8:O272)),
   IF(OR(TEXT(E273,"mm.dd")=LEFT(E274,5),TEXT(E273,"mm.dd")=TEXT(E274,"mm.dd")),"",SUM($M$8:M273)-SUM($O$8:O272)))</f>
        <v/>
      </c>
    </row>
    <row r="274" spans="2:15" s="6" customFormat="1" ht="13.5" customHeight="1" x14ac:dyDescent="0.25">
      <c r="B274" s="6" t="s">
        <v>15</v>
      </c>
      <c r="C274" s="87" t="str">
        <f t="shared" si="22"/>
        <v/>
      </c>
      <c r="D274" s="2" t="str" cm="1">
        <f t="array" ref="D274">_xll.RssMarket(C274, "銘柄名称")</f>
        <v/>
      </c>
      <c r="E274" s="2" t="str" cm="1">
        <f t="array" ref="E274">_xll.RssMarket(C274, "現在日付")</f>
        <v/>
      </c>
      <c r="F274" s="10" t="str">
        <f t="shared" ca="1" si="23"/>
        <v/>
      </c>
      <c r="G274" s="3"/>
      <c r="H274" s="4"/>
      <c r="I274" s="4"/>
      <c r="J274" s="5">
        <f t="shared" si="24"/>
        <v>0</v>
      </c>
      <c r="K274" s="4"/>
      <c r="L274" s="5">
        <f t="shared" si="25"/>
        <v>0</v>
      </c>
      <c r="M274" s="25" t="str">
        <f t="shared" si="26"/>
        <v>\0</v>
      </c>
      <c r="N274" s="23" t="str">
        <f t="shared" si="27"/>
        <v>データなし</v>
      </c>
      <c r="O274" s="24" t="str">
        <f>IF(MID(E274,3,1)=".",
   IF(OR(LEFT(E274,5)=LEFT(E275,5),LEFT(E274,5)=TEXT(E275,"mm.dd")),"",SUM($M$8:M274)-SUM($O$8:O273)),
   IF(OR(TEXT(E274,"mm.dd")=LEFT(E275,5),TEXT(E274,"mm.dd")=TEXT(E275,"mm.dd")),"",SUM($M$8:M274)-SUM($O$8:O273)))</f>
        <v/>
      </c>
    </row>
    <row r="275" spans="2:15" s="6" customFormat="1" ht="13.5" customHeight="1" x14ac:dyDescent="0.25">
      <c r="B275" s="6" t="s">
        <v>15</v>
      </c>
      <c r="C275" s="87" t="str">
        <f t="shared" si="22"/>
        <v/>
      </c>
      <c r="D275" s="2" t="str" cm="1">
        <f t="array" ref="D275">_xll.RssMarket(C275, "銘柄名称")</f>
        <v/>
      </c>
      <c r="E275" s="2" t="str" cm="1">
        <f t="array" ref="E275">_xll.RssMarket(C275, "現在日付")</f>
        <v/>
      </c>
      <c r="F275" s="10" t="str">
        <f t="shared" ca="1" si="23"/>
        <v/>
      </c>
      <c r="G275" s="3"/>
      <c r="H275" s="4"/>
      <c r="I275" s="4"/>
      <c r="J275" s="5">
        <f t="shared" si="24"/>
        <v>0</v>
      </c>
      <c r="K275" s="4"/>
      <c r="L275" s="5">
        <f t="shared" si="25"/>
        <v>0</v>
      </c>
      <c r="M275" s="25" t="str">
        <f t="shared" si="26"/>
        <v>\0</v>
      </c>
      <c r="N275" s="23" t="str">
        <f t="shared" si="27"/>
        <v>データなし</v>
      </c>
      <c r="O275" s="24" t="str">
        <f>IF(MID(E275,3,1)=".",
   IF(OR(LEFT(E275,5)=LEFT(E276,5),LEFT(E275,5)=TEXT(E276,"mm.dd")),"",SUM($M$8:M275)-SUM($O$8:O274)),
   IF(OR(TEXT(E275,"mm.dd")=LEFT(E276,5),TEXT(E275,"mm.dd")=TEXT(E276,"mm.dd")),"",SUM($M$8:M275)-SUM($O$8:O274)))</f>
        <v/>
      </c>
    </row>
    <row r="276" spans="2:15" s="6" customFormat="1" ht="13.5" customHeight="1" x14ac:dyDescent="0.25">
      <c r="B276" s="6" t="s">
        <v>15</v>
      </c>
      <c r="C276" s="87" t="str">
        <f t="shared" si="22"/>
        <v/>
      </c>
      <c r="D276" s="2" t="str" cm="1">
        <f t="array" ref="D276">_xll.RssMarket(C276, "銘柄名称")</f>
        <v/>
      </c>
      <c r="E276" s="2" t="str" cm="1">
        <f t="array" ref="E276">_xll.RssMarket(C276, "現在日付")</f>
        <v/>
      </c>
      <c r="F276" s="10" t="str">
        <f t="shared" ca="1" si="23"/>
        <v/>
      </c>
      <c r="G276" s="3"/>
      <c r="H276" s="4"/>
      <c r="I276" s="4"/>
      <c r="J276" s="5">
        <f t="shared" si="24"/>
        <v>0</v>
      </c>
      <c r="K276" s="4"/>
      <c r="L276" s="5">
        <f t="shared" si="25"/>
        <v>0</v>
      </c>
      <c r="M276" s="25" t="str">
        <f t="shared" si="26"/>
        <v>\0</v>
      </c>
      <c r="N276" s="23" t="str">
        <f t="shared" si="27"/>
        <v>データなし</v>
      </c>
      <c r="O276" s="24" t="str">
        <f>IF(MID(E276,3,1)=".",
   IF(OR(LEFT(E276,5)=LEFT(E277,5),LEFT(E276,5)=TEXT(E277,"mm.dd")),"",SUM($M$8:M276)-SUM($O$8:O275)),
   IF(OR(TEXT(E276,"mm.dd")=LEFT(E277,5),TEXT(E276,"mm.dd")=TEXT(E277,"mm.dd")),"",SUM($M$8:M276)-SUM($O$8:O275)))</f>
        <v/>
      </c>
    </row>
    <row r="277" spans="2:15" s="6" customFormat="1" ht="13.5" customHeight="1" x14ac:dyDescent="0.25">
      <c r="B277" s="6" t="s">
        <v>15</v>
      </c>
      <c r="C277" s="87" t="str">
        <f t="shared" si="22"/>
        <v/>
      </c>
      <c r="D277" s="2" t="str" cm="1">
        <f t="array" ref="D277">_xll.RssMarket(C277, "銘柄名称")</f>
        <v/>
      </c>
      <c r="E277" s="2" t="str" cm="1">
        <f t="array" ref="E277">_xll.RssMarket(C277, "現在日付")</f>
        <v/>
      </c>
      <c r="F277" s="10" t="str">
        <f t="shared" ca="1" si="23"/>
        <v/>
      </c>
      <c r="G277" s="3"/>
      <c r="H277" s="4"/>
      <c r="I277" s="4"/>
      <c r="J277" s="5">
        <f t="shared" si="24"/>
        <v>0</v>
      </c>
      <c r="K277" s="4"/>
      <c r="L277" s="5">
        <f t="shared" si="25"/>
        <v>0</v>
      </c>
      <c r="M277" s="25" t="str">
        <f t="shared" si="26"/>
        <v>\0</v>
      </c>
      <c r="N277" s="23" t="str">
        <f t="shared" si="27"/>
        <v>データなし</v>
      </c>
      <c r="O277" s="24" t="str">
        <f>IF(MID(E277,3,1)=".",
   IF(OR(LEFT(E277,5)=LEFT(E278,5),LEFT(E277,5)=TEXT(E278,"mm.dd")),"",SUM($M$8:M277)-SUM($O$8:O276)),
   IF(OR(TEXT(E277,"mm.dd")=LEFT(E278,5),TEXT(E277,"mm.dd")=TEXT(E278,"mm.dd")),"",SUM($M$8:M277)-SUM($O$8:O276)))</f>
        <v/>
      </c>
    </row>
    <row r="278" spans="2:15" s="6" customFormat="1" ht="13.5" customHeight="1" x14ac:dyDescent="0.25">
      <c r="B278" s="6" t="s">
        <v>15</v>
      </c>
      <c r="C278" s="87" t="str">
        <f t="shared" si="22"/>
        <v/>
      </c>
      <c r="D278" s="2" t="str" cm="1">
        <f t="array" ref="D278">_xll.RssMarket(C278, "銘柄名称")</f>
        <v/>
      </c>
      <c r="E278" s="2" t="str" cm="1">
        <f t="array" ref="E278">_xll.RssMarket(C278, "現在日付")</f>
        <v/>
      </c>
      <c r="F278" s="10" t="str">
        <f t="shared" ca="1" si="23"/>
        <v/>
      </c>
      <c r="G278" s="3"/>
      <c r="H278" s="4"/>
      <c r="I278" s="4"/>
      <c r="J278" s="5">
        <f t="shared" si="24"/>
        <v>0</v>
      </c>
      <c r="K278" s="4"/>
      <c r="L278" s="5">
        <f t="shared" si="25"/>
        <v>0</v>
      </c>
      <c r="M278" s="25" t="str">
        <f t="shared" si="26"/>
        <v>\0</v>
      </c>
      <c r="N278" s="23" t="str">
        <f t="shared" si="27"/>
        <v>データなし</v>
      </c>
      <c r="O278" s="24" t="str">
        <f>IF(MID(E278,3,1)=".",
   IF(OR(LEFT(E278,5)=LEFT(E279,5),LEFT(E278,5)=TEXT(E279,"mm.dd")),"",SUM($M$8:M278)-SUM($O$8:O277)),
   IF(OR(TEXT(E278,"mm.dd")=LEFT(E279,5),TEXT(E278,"mm.dd")=TEXT(E279,"mm.dd")),"",SUM($M$8:M278)-SUM($O$8:O277)))</f>
        <v/>
      </c>
    </row>
    <row r="279" spans="2:15" s="6" customFormat="1" ht="13.5" customHeight="1" x14ac:dyDescent="0.25">
      <c r="B279" s="6" t="s">
        <v>15</v>
      </c>
      <c r="C279" s="87" t="str">
        <f t="shared" si="22"/>
        <v/>
      </c>
      <c r="D279" s="2" t="str" cm="1">
        <f t="array" ref="D279">_xll.RssMarket(C279, "銘柄名称")</f>
        <v/>
      </c>
      <c r="E279" s="2" t="str" cm="1">
        <f t="array" ref="E279">_xll.RssMarket(C279, "現在日付")</f>
        <v/>
      </c>
      <c r="F279" s="10" t="str">
        <f t="shared" ca="1" si="23"/>
        <v/>
      </c>
      <c r="G279" s="3"/>
      <c r="H279" s="4"/>
      <c r="I279" s="4"/>
      <c r="J279" s="5">
        <f t="shared" si="24"/>
        <v>0</v>
      </c>
      <c r="K279" s="4"/>
      <c r="L279" s="5">
        <f t="shared" si="25"/>
        <v>0</v>
      </c>
      <c r="M279" s="25" t="str">
        <f t="shared" si="26"/>
        <v>\0</v>
      </c>
      <c r="N279" s="23" t="str">
        <f t="shared" si="27"/>
        <v>データなし</v>
      </c>
      <c r="O279" s="24" t="str">
        <f>IF(MID(E279,3,1)=".",
   IF(OR(LEFT(E279,5)=LEFT(E280,5),LEFT(E279,5)=TEXT(E280,"mm.dd")),"",SUM($M$8:M279)-SUM($O$8:O278)),
   IF(OR(TEXT(E279,"mm.dd")=LEFT(E280,5),TEXT(E279,"mm.dd")=TEXT(E280,"mm.dd")),"",SUM($M$8:M279)-SUM($O$8:O278)))</f>
        <v/>
      </c>
    </row>
    <row r="280" spans="2:15" s="6" customFormat="1" ht="13.5" customHeight="1" x14ac:dyDescent="0.25">
      <c r="B280" s="6" t="s">
        <v>15</v>
      </c>
      <c r="C280" s="87" t="str">
        <f t="shared" si="22"/>
        <v/>
      </c>
      <c r="D280" s="2" t="str" cm="1">
        <f t="array" ref="D280">_xll.RssMarket(C280, "銘柄名称")</f>
        <v/>
      </c>
      <c r="E280" s="2" t="str" cm="1">
        <f t="array" ref="E280">_xll.RssMarket(C280, "現在日付")</f>
        <v/>
      </c>
      <c r="F280" s="10" t="str">
        <f t="shared" ca="1" si="23"/>
        <v/>
      </c>
      <c r="G280" s="3"/>
      <c r="H280" s="4"/>
      <c r="I280" s="4"/>
      <c r="J280" s="5">
        <f t="shared" si="24"/>
        <v>0</v>
      </c>
      <c r="K280" s="4"/>
      <c r="L280" s="5">
        <f t="shared" si="25"/>
        <v>0</v>
      </c>
      <c r="M280" s="25" t="str">
        <f t="shared" si="26"/>
        <v>\0</v>
      </c>
      <c r="N280" s="23" t="str">
        <f t="shared" si="27"/>
        <v>データなし</v>
      </c>
      <c r="O280" s="24" t="str">
        <f>IF(MID(E280,3,1)=".",
   IF(OR(LEFT(E280,5)=LEFT(E281,5),LEFT(E280,5)=TEXT(E281,"mm.dd")),"",SUM($M$8:M280)-SUM($O$8:O279)),
   IF(OR(TEXT(E280,"mm.dd")=LEFT(E281,5),TEXT(E280,"mm.dd")=TEXT(E281,"mm.dd")),"",SUM($M$8:M280)-SUM($O$8:O279)))</f>
        <v/>
      </c>
    </row>
    <row r="281" spans="2:15" s="6" customFormat="1" ht="13.5" customHeight="1" x14ac:dyDescent="0.25">
      <c r="B281" s="6" t="s">
        <v>15</v>
      </c>
      <c r="C281" s="87" t="str">
        <f t="shared" si="22"/>
        <v/>
      </c>
      <c r="D281" s="2" t="str" cm="1">
        <f t="array" ref="D281">_xll.RssMarket(C281, "銘柄名称")</f>
        <v/>
      </c>
      <c r="E281" s="2" t="str" cm="1">
        <f t="array" ref="E281">_xll.RssMarket(C281, "現在日付")</f>
        <v/>
      </c>
      <c r="F281" s="10" t="str">
        <f t="shared" ca="1" si="23"/>
        <v/>
      </c>
      <c r="G281" s="3"/>
      <c r="H281" s="4"/>
      <c r="I281" s="4"/>
      <c r="J281" s="5">
        <f t="shared" si="24"/>
        <v>0</v>
      </c>
      <c r="K281" s="4"/>
      <c r="L281" s="5">
        <f t="shared" si="25"/>
        <v>0</v>
      </c>
      <c r="M281" s="25" t="str">
        <f t="shared" si="26"/>
        <v>\0</v>
      </c>
      <c r="N281" s="23" t="str">
        <f t="shared" si="27"/>
        <v>データなし</v>
      </c>
      <c r="O281" s="24" t="str">
        <f>IF(MID(E281,3,1)=".",
   IF(OR(LEFT(E281,5)=LEFT(E282,5),LEFT(E281,5)=TEXT(E282,"mm.dd")),"",SUM($M$8:M281)-SUM($O$8:O280)),
   IF(OR(TEXT(E281,"mm.dd")=LEFT(E282,5),TEXT(E281,"mm.dd")=TEXT(E282,"mm.dd")),"",SUM($M$8:M281)-SUM($O$8:O280)))</f>
        <v/>
      </c>
    </row>
    <row r="282" spans="2:15" s="6" customFormat="1" ht="13.5" customHeight="1" x14ac:dyDescent="0.25">
      <c r="B282" s="6" t="s">
        <v>15</v>
      </c>
      <c r="C282" s="87" t="str">
        <f t="shared" si="22"/>
        <v/>
      </c>
      <c r="D282" s="2" t="str" cm="1">
        <f t="array" ref="D282">_xll.RssMarket(C282, "銘柄名称")</f>
        <v/>
      </c>
      <c r="E282" s="2" t="str" cm="1">
        <f t="array" ref="E282">_xll.RssMarket(C282, "現在日付")</f>
        <v/>
      </c>
      <c r="F282" s="10" t="str">
        <f t="shared" ca="1" si="23"/>
        <v/>
      </c>
      <c r="G282" s="3"/>
      <c r="H282" s="4"/>
      <c r="I282" s="4"/>
      <c r="J282" s="5">
        <f t="shared" si="24"/>
        <v>0</v>
      </c>
      <c r="K282" s="4"/>
      <c r="L282" s="5">
        <f t="shared" si="25"/>
        <v>0</v>
      </c>
      <c r="M282" s="25" t="str">
        <f t="shared" si="26"/>
        <v>\0</v>
      </c>
      <c r="N282" s="23" t="str">
        <f t="shared" si="27"/>
        <v>データなし</v>
      </c>
      <c r="O282" s="24" t="str">
        <f>IF(MID(E282,3,1)=".",
   IF(OR(LEFT(E282,5)=LEFT(E283,5),LEFT(E282,5)=TEXT(E283,"mm.dd")),"",SUM($M$8:M282)-SUM($O$8:O281)),
   IF(OR(TEXT(E282,"mm.dd")=LEFT(E283,5),TEXT(E282,"mm.dd")=TEXT(E283,"mm.dd")),"",SUM($M$8:M282)-SUM($O$8:O281)))</f>
        <v/>
      </c>
    </row>
    <row r="283" spans="2:15" s="6" customFormat="1" ht="13.5" customHeight="1" x14ac:dyDescent="0.25">
      <c r="B283" s="6" t="s">
        <v>15</v>
      </c>
      <c r="C283" s="87" t="str">
        <f t="shared" si="22"/>
        <v/>
      </c>
      <c r="D283" s="2" t="str" cm="1">
        <f t="array" ref="D283">_xll.RssMarket(C283, "銘柄名称")</f>
        <v/>
      </c>
      <c r="E283" s="2" t="str" cm="1">
        <f t="array" ref="E283">_xll.RssMarket(C283, "現在日付")</f>
        <v/>
      </c>
      <c r="F283" s="10" t="str">
        <f t="shared" ca="1" si="23"/>
        <v/>
      </c>
      <c r="G283" s="3"/>
      <c r="H283" s="4"/>
      <c r="I283" s="4"/>
      <c r="J283" s="5">
        <f t="shared" si="24"/>
        <v>0</v>
      </c>
      <c r="K283" s="4"/>
      <c r="L283" s="5">
        <f t="shared" si="25"/>
        <v>0</v>
      </c>
      <c r="M283" s="25" t="str">
        <f t="shared" si="26"/>
        <v>\0</v>
      </c>
      <c r="N283" s="23" t="str">
        <f t="shared" si="27"/>
        <v>データなし</v>
      </c>
      <c r="O283" s="24" t="str">
        <f>IF(MID(E283,3,1)=".",
   IF(OR(LEFT(E283,5)=LEFT(E284,5),LEFT(E283,5)=TEXT(E284,"mm.dd")),"",SUM($M$8:M283)-SUM($O$8:O282)),
   IF(OR(TEXT(E283,"mm.dd")=LEFT(E284,5),TEXT(E283,"mm.dd")=TEXT(E284,"mm.dd")),"",SUM($M$8:M283)-SUM($O$8:O282)))</f>
        <v/>
      </c>
    </row>
    <row r="284" spans="2:15" s="6" customFormat="1" ht="13.5" customHeight="1" x14ac:dyDescent="0.25">
      <c r="B284" s="6" t="s">
        <v>15</v>
      </c>
      <c r="C284" s="87" t="str">
        <f t="shared" si="22"/>
        <v/>
      </c>
      <c r="D284" s="2" t="str" cm="1">
        <f t="array" ref="D284">_xll.RssMarket(C284, "銘柄名称")</f>
        <v/>
      </c>
      <c r="E284" s="2" t="str" cm="1">
        <f t="array" ref="E284">_xll.RssMarket(C284, "現在日付")</f>
        <v/>
      </c>
      <c r="F284" s="10" t="str">
        <f t="shared" ca="1" si="23"/>
        <v/>
      </c>
      <c r="G284" s="3"/>
      <c r="H284" s="4"/>
      <c r="I284" s="4"/>
      <c r="J284" s="5">
        <f t="shared" si="24"/>
        <v>0</v>
      </c>
      <c r="K284" s="4"/>
      <c r="L284" s="5">
        <f t="shared" si="25"/>
        <v>0</v>
      </c>
      <c r="M284" s="25" t="str">
        <f t="shared" si="26"/>
        <v>\0</v>
      </c>
      <c r="N284" s="23" t="str">
        <f t="shared" si="27"/>
        <v>データなし</v>
      </c>
      <c r="O284" s="24" t="str">
        <f>IF(MID(E284,3,1)=".",
   IF(OR(LEFT(E284,5)=LEFT(E285,5),LEFT(E284,5)=TEXT(E285,"mm.dd")),"",SUM($M$8:M284)-SUM($O$8:O283)),
   IF(OR(TEXT(E284,"mm.dd")=LEFT(E285,5),TEXT(E284,"mm.dd")=TEXT(E285,"mm.dd")),"",SUM($M$8:M284)-SUM($O$8:O283)))</f>
        <v/>
      </c>
    </row>
    <row r="285" spans="2:15" s="6" customFormat="1" ht="13.5" customHeight="1" x14ac:dyDescent="0.25">
      <c r="B285" s="6" t="s">
        <v>15</v>
      </c>
      <c r="C285" s="87" t="str">
        <f t="shared" si="22"/>
        <v/>
      </c>
      <c r="D285" s="2" t="str" cm="1">
        <f t="array" ref="D285">_xll.RssMarket(C285, "銘柄名称")</f>
        <v/>
      </c>
      <c r="E285" s="2" t="str" cm="1">
        <f t="array" ref="E285">_xll.RssMarket(C285, "現在日付")</f>
        <v/>
      </c>
      <c r="F285" s="10" t="str">
        <f t="shared" ca="1" si="23"/>
        <v/>
      </c>
      <c r="G285" s="3"/>
      <c r="H285" s="4"/>
      <c r="I285" s="4"/>
      <c r="J285" s="5">
        <f t="shared" si="24"/>
        <v>0</v>
      </c>
      <c r="K285" s="4"/>
      <c r="L285" s="5">
        <f t="shared" si="25"/>
        <v>0</v>
      </c>
      <c r="M285" s="25" t="str">
        <f t="shared" si="26"/>
        <v>\0</v>
      </c>
      <c r="N285" s="23" t="str">
        <f t="shared" si="27"/>
        <v>データなし</v>
      </c>
      <c r="O285" s="24" t="str">
        <f>IF(MID(E285,3,1)=".",
   IF(OR(LEFT(E285,5)=LEFT(E286,5),LEFT(E285,5)=TEXT(E286,"mm.dd")),"",SUM($M$8:M285)-SUM($O$8:O284)),
   IF(OR(TEXT(E285,"mm.dd")=LEFT(E286,5),TEXT(E285,"mm.dd")=TEXT(E286,"mm.dd")),"",SUM($M$8:M285)-SUM($O$8:O284)))</f>
        <v/>
      </c>
    </row>
    <row r="286" spans="2:15" s="6" customFormat="1" ht="13.5" customHeight="1" x14ac:dyDescent="0.25">
      <c r="B286" s="6" t="s">
        <v>15</v>
      </c>
      <c r="C286" s="87" t="str">
        <f t="shared" si="22"/>
        <v/>
      </c>
      <c r="D286" s="2" t="str" cm="1">
        <f t="array" ref="D286">_xll.RssMarket(C286, "銘柄名称")</f>
        <v/>
      </c>
      <c r="E286" s="2" t="str" cm="1">
        <f t="array" ref="E286">_xll.RssMarket(C286, "現在日付")</f>
        <v/>
      </c>
      <c r="F286" s="10" t="str">
        <f t="shared" ca="1" si="23"/>
        <v/>
      </c>
      <c r="G286" s="3"/>
      <c r="H286" s="4"/>
      <c r="I286" s="4"/>
      <c r="J286" s="5">
        <f t="shared" si="24"/>
        <v>0</v>
      </c>
      <c r="K286" s="4"/>
      <c r="L286" s="5">
        <f t="shared" si="25"/>
        <v>0</v>
      </c>
      <c r="M286" s="25" t="str">
        <f t="shared" si="26"/>
        <v>\0</v>
      </c>
      <c r="N286" s="23" t="str">
        <f t="shared" si="27"/>
        <v>データなし</v>
      </c>
      <c r="O286" s="24" t="str">
        <f>IF(MID(E286,3,1)=".",
   IF(OR(LEFT(E286,5)=LEFT(E287,5),LEFT(E286,5)=TEXT(E287,"mm.dd")),"",SUM($M$8:M286)-SUM($O$8:O285)),
   IF(OR(TEXT(E286,"mm.dd")=LEFT(E287,5),TEXT(E286,"mm.dd")=TEXT(E287,"mm.dd")),"",SUM($M$8:M286)-SUM($O$8:O285)))</f>
        <v/>
      </c>
    </row>
    <row r="287" spans="2:15" s="6" customFormat="1" ht="13.5" customHeight="1" x14ac:dyDescent="0.25">
      <c r="B287" s="6" t="s">
        <v>15</v>
      </c>
      <c r="C287" s="87" t="str">
        <f t="shared" si="22"/>
        <v/>
      </c>
      <c r="D287" s="2" t="str" cm="1">
        <f t="array" ref="D287">_xll.RssMarket(C287, "銘柄名称")</f>
        <v/>
      </c>
      <c r="E287" s="2" t="str" cm="1">
        <f t="array" ref="E287">_xll.RssMarket(C287, "現在日付")</f>
        <v/>
      </c>
      <c r="F287" s="10" t="str">
        <f t="shared" ca="1" si="23"/>
        <v/>
      </c>
      <c r="G287" s="3"/>
      <c r="H287" s="4"/>
      <c r="I287" s="4"/>
      <c r="J287" s="5">
        <f t="shared" si="24"/>
        <v>0</v>
      </c>
      <c r="K287" s="4"/>
      <c r="L287" s="5">
        <f t="shared" si="25"/>
        <v>0</v>
      </c>
      <c r="M287" s="25" t="str">
        <f t="shared" si="26"/>
        <v>\0</v>
      </c>
      <c r="N287" s="23" t="str">
        <f t="shared" si="27"/>
        <v>データなし</v>
      </c>
      <c r="O287" s="24" t="str">
        <f>IF(MID(E287,3,1)=".",
   IF(OR(LEFT(E287,5)=LEFT(E288,5),LEFT(E287,5)=TEXT(E288,"mm.dd")),"",SUM($M$8:M287)-SUM($O$8:O286)),
   IF(OR(TEXT(E287,"mm.dd")=LEFT(E288,5),TEXT(E287,"mm.dd")=TEXT(E288,"mm.dd")),"",SUM($M$8:M287)-SUM($O$8:O286)))</f>
        <v/>
      </c>
    </row>
    <row r="288" spans="2:15" s="6" customFormat="1" ht="13.5" customHeight="1" x14ac:dyDescent="0.25">
      <c r="B288" s="6" t="s">
        <v>15</v>
      </c>
      <c r="C288" s="87" t="str">
        <f t="shared" si="22"/>
        <v/>
      </c>
      <c r="D288" s="2" t="str" cm="1">
        <f t="array" ref="D288">_xll.RssMarket(C288, "銘柄名称")</f>
        <v/>
      </c>
      <c r="E288" s="2" t="str" cm="1">
        <f t="array" ref="E288">_xll.RssMarket(C288, "現在日付")</f>
        <v/>
      </c>
      <c r="F288" s="10" t="str">
        <f t="shared" ca="1" si="23"/>
        <v/>
      </c>
      <c r="G288" s="3"/>
      <c r="H288" s="4"/>
      <c r="I288" s="4"/>
      <c r="J288" s="5">
        <f t="shared" si="24"/>
        <v>0</v>
      </c>
      <c r="K288" s="4"/>
      <c r="L288" s="5">
        <f t="shared" si="25"/>
        <v>0</v>
      </c>
      <c r="M288" s="25" t="str">
        <f t="shared" si="26"/>
        <v>\0</v>
      </c>
      <c r="N288" s="23" t="str">
        <f t="shared" si="27"/>
        <v>データなし</v>
      </c>
      <c r="O288" s="24" t="str">
        <f>IF(MID(E288,3,1)=".",
   IF(OR(LEFT(E288,5)=LEFT(E289,5),LEFT(E288,5)=TEXT(E289,"mm.dd")),"",SUM($M$8:M288)-SUM($O$8:O287)),
   IF(OR(TEXT(E288,"mm.dd")=LEFT(E289,5),TEXT(E288,"mm.dd")=TEXT(E289,"mm.dd")),"",SUM($M$8:M288)-SUM($O$8:O287)))</f>
        <v/>
      </c>
    </row>
    <row r="289" spans="2:15" s="6" customFormat="1" ht="13.5" customHeight="1" x14ac:dyDescent="0.25">
      <c r="B289" s="6" t="s">
        <v>15</v>
      </c>
      <c r="C289" s="87" t="str">
        <f t="shared" si="22"/>
        <v/>
      </c>
      <c r="D289" s="2" t="str" cm="1">
        <f t="array" ref="D289">_xll.RssMarket(C289, "銘柄名称")</f>
        <v/>
      </c>
      <c r="E289" s="2" t="str" cm="1">
        <f t="array" ref="E289">_xll.RssMarket(C289, "現在日付")</f>
        <v/>
      </c>
      <c r="F289" s="10" t="str">
        <f t="shared" ca="1" si="23"/>
        <v/>
      </c>
      <c r="G289" s="3"/>
      <c r="H289" s="4"/>
      <c r="I289" s="4"/>
      <c r="J289" s="5">
        <f t="shared" si="24"/>
        <v>0</v>
      </c>
      <c r="K289" s="4"/>
      <c r="L289" s="5">
        <f t="shared" si="25"/>
        <v>0</v>
      </c>
      <c r="M289" s="25" t="str">
        <f t="shared" si="26"/>
        <v>\0</v>
      </c>
      <c r="N289" s="23" t="str">
        <f t="shared" si="27"/>
        <v>データなし</v>
      </c>
      <c r="O289" s="24" t="str">
        <f>IF(MID(E289,3,1)=".",
   IF(OR(LEFT(E289,5)=LEFT(E290,5),LEFT(E289,5)=TEXT(E290,"mm.dd")),"",SUM($M$8:M289)-SUM($O$8:O288)),
   IF(OR(TEXT(E289,"mm.dd")=LEFT(E290,5),TEXT(E289,"mm.dd")=TEXT(E290,"mm.dd")),"",SUM($M$8:M289)-SUM($O$8:O288)))</f>
        <v/>
      </c>
    </row>
    <row r="290" spans="2:15" s="6" customFormat="1" ht="13.5" customHeight="1" x14ac:dyDescent="0.25">
      <c r="B290" s="6" t="s">
        <v>15</v>
      </c>
      <c r="C290" s="87" t="str">
        <f t="shared" si="22"/>
        <v/>
      </c>
      <c r="D290" s="2" t="str" cm="1">
        <f t="array" ref="D290">_xll.RssMarket(C290, "銘柄名称")</f>
        <v/>
      </c>
      <c r="E290" s="2" t="str" cm="1">
        <f t="array" ref="E290">_xll.RssMarket(C290, "現在日付")</f>
        <v/>
      </c>
      <c r="F290" s="10" t="str">
        <f t="shared" ca="1" si="23"/>
        <v/>
      </c>
      <c r="G290" s="3"/>
      <c r="H290" s="4"/>
      <c r="I290" s="4"/>
      <c r="J290" s="5">
        <f t="shared" si="24"/>
        <v>0</v>
      </c>
      <c r="K290" s="4"/>
      <c r="L290" s="5">
        <f t="shared" si="25"/>
        <v>0</v>
      </c>
      <c r="M290" s="25" t="str">
        <f t="shared" si="26"/>
        <v>\0</v>
      </c>
      <c r="N290" s="23" t="str">
        <f t="shared" si="27"/>
        <v>データなし</v>
      </c>
      <c r="O290" s="24" t="str">
        <f>IF(MID(E290,3,1)=".",
   IF(OR(LEFT(E290,5)=LEFT(E291,5),LEFT(E290,5)=TEXT(E291,"mm.dd")),"",SUM($M$8:M290)-SUM($O$8:O289)),
   IF(OR(TEXT(E290,"mm.dd")=LEFT(E291,5),TEXT(E290,"mm.dd")=TEXT(E291,"mm.dd")),"",SUM($M$8:M290)-SUM($O$8:O289)))</f>
        <v/>
      </c>
    </row>
    <row r="291" spans="2:15" s="6" customFormat="1" ht="13.5" customHeight="1" x14ac:dyDescent="0.25">
      <c r="B291" s="6" t="s">
        <v>15</v>
      </c>
      <c r="C291" s="87" t="str">
        <f t="shared" si="22"/>
        <v/>
      </c>
      <c r="D291" s="2" t="str" cm="1">
        <f t="array" ref="D291">_xll.RssMarket(C291, "銘柄名称")</f>
        <v/>
      </c>
      <c r="E291" s="2" t="str" cm="1">
        <f t="array" ref="E291">_xll.RssMarket(C291, "現在日付")</f>
        <v/>
      </c>
      <c r="F291" s="10" t="str">
        <f t="shared" ca="1" si="23"/>
        <v/>
      </c>
      <c r="G291" s="3"/>
      <c r="H291" s="4"/>
      <c r="I291" s="4"/>
      <c r="J291" s="5">
        <f t="shared" si="24"/>
        <v>0</v>
      </c>
      <c r="K291" s="4"/>
      <c r="L291" s="5">
        <f t="shared" si="25"/>
        <v>0</v>
      </c>
      <c r="M291" s="25" t="str">
        <f t="shared" si="26"/>
        <v>\0</v>
      </c>
      <c r="N291" s="23" t="str">
        <f t="shared" si="27"/>
        <v>データなし</v>
      </c>
      <c r="O291" s="24" t="str">
        <f>IF(MID(E291,3,1)=".",
   IF(OR(LEFT(E291,5)=LEFT(E292,5),LEFT(E291,5)=TEXT(E292,"mm.dd")),"",SUM($M$8:M291)-SUM($O$8:O290)),
   IF(OR(TEXT(E291,"mm.dd")=LEFT(E292,5),TEXT(E291,"mm.dd")=TEXT(E292,"mm.dd")),"",SUM($M$8:M291)-SUM($O$8:O290)))</f>
        <v/>
      </c>
    </row>
    <row r="292" spans="2:15" s="6" customFormat="1" ht="13.5" customHeight="1" x14ac:dyDescent="0.25">
      <c r="B292" s="6" t="s">
        <v>15</v>
      </c>
      <c r="C292" s="87" t="str">
        <f t="shared" ref="C292:C300" si="28">IF(COUNTIF(A:A,A292)&gt;1,"重複!","")</f>
        <v/>
      </c>
      <c r="D292" s="2" t="str" cm="1">
        <f t="array" ref="D292">_xll.RssMarket(C292, "銘柄名称")</f>
        <v/>
      </c>
      <c r="E292" s="2" t="str" cm="1">
        <f t="array" ref="E292">_xll.RssMarket(C292, "現在日付")</f>
        <v/>
      </c>
      <c r="F292" s="10" t="str">
        <f t="shared" ref="F292:F300" ca="1" si="29">IF(K292="","",TODAY())</f>
        <v/>
      </c>
      <c r="G292" s="3"/>
      <c r="H292" s="4"/>
      <c r="I292" s="4"/>
      <c r="J292" s="5">
        <f t="shared" ref="J292:J300" si="30">(G292*H292)+I292</f>
        <v>0</v>
      </c>
      <c r="K292" s="4"/>
      <c r="L292" s="5">
        <f t="shared" ref="L292:L300" si="31">G292*K292</f>
        <v>0</v>
      </c>
      <c r="M292" s="25" t="str">
        <f t="shared" ref="M292:M300" si="32">IF(OR(H292="",K292=""),"\0",IF(B292="売",(J292-L292),(L292-J292)))</f>
        <v>\0</v>
      </c>
      <c r="N292" s="23" t="str">
        <f t="shared" ref="N292:N300" si="33">IF(ISERR(M292/J292),"データなし",(M292/J292))</f>
        <v>データなし</v>
      </c>
      <c r="O292" s="24" t="str">
        <f>IF(MID(E292,3,1)=".",
   IF(OR(LEFT(E292,5)=LEFT(E293,5),LEFT(E292,5)=TEXT(E293,"mm.dd")),"",SUM($M$8:M292)-SUM($O$8:O291)),
   IF(OR(TEXT(E292,"mm.dd")=LEFT(E293,5),TEXT(E292,"mm.dd")=TEXT(E293,"mm.dd")),"",SUM($M$8:M292)-SUM($O$8:O291)))</f>
        <v/>
      </c>
    </row>
    <row r="293" spans="2:15" s="6" customFormat="1" ht="13.5" customHeight="1" x14ac:dyDescent="0.25">
      <c r="B293" s="6" t="s">
        <v>15</v>
      </c>
      <c r="C293" s="87" t="str">
        <f t="shared" si="28"/>
        <v/>
      </c>
      <c r="D293" s="2" t="str" cm="1">
        <f t="array" ref="D293">_xll.RssMarket(C293, "銘柄名称")</f>
        <v/>
      </c>
      <c r="E293" s="2" t="str" cm="1">
        <f t="array" ref="E293">_xll.RssMarket(C293, "現在日付")</f>
        <v/>
      </c>
      <c r="F293" s="10" t="str">
        <f t="shared" ca="1" si="29"/>
        <v/>
      </c>
      <c r="G293" s="3"/>
      <c r="H293" s="4"/>
      <c r="I293" s="4"/>
      <c r="J293" s="5">
        <f t="shared" si="30"/>
        <v>0</v>
      </c>
      <c r="K293" s="4"/>
      <c r="L293" s="5">
        <f t="shared" si="31"/>
        <v>0</v>
      </c>
      <c r="M293" s="25" t="str">
        <f t="shared" si="32"/>
        <v>\0</v>
      </c>
      <c r="N293" s="23" t="str">
        <f t="shared" si="33"/>
        <v>データなし</v>
      </c>
      <c r="O293" s="24" t="str">
        <f>IF(MID(E293,3,1)=".",
   IF(OR(LEFT(E293,5)=LEFT(E294,5),LEFT(E293,5)=TEXT(E294,"mm.dd")),"",SUM($M$8:M293)-SUM($O$8:O292)),
   IF(OR(TEXT(E293,"mm.dd")=LEFT(E294,5),TEXT(E293,"mm.dd")=TEXT(E294,"mm.dd")),"",SUM($M$8:M293)-SUM($O$8:O292)))</f>
        <v/>
      </c>
    </row>
    <row r="294" spans="2:15" s="6" customFormat="1" ht="13.5" customHeight="1" x14ac:dyDescent="0.25">
      <c r="B294" s="6" t="s">
        <v>15</v>
      </c>
      <c r="C294" s="87" t="str">
        <f t="shared" si="28"/>
        <v/>
      </c>
      <c r="D294" s="2" t="str" cm="1">
        <f t="array" ref="D294">_xll.RssMarket(C294, "銘柄名称")</f>
        <v/>
      </c>
      <c r="E294" s="2" t="str" cm="1">
        <f t="array" ref="E294">_xll.RssMarket(C294, "現在日付")</f>
        <v/>
      </c>
      <c r="F294" s="10" t="str">
        <f t="shared" ca="1" si="29"/>
        <v/>
      </c>
      <c r="G294" s="3"/>
      <c r="H294" s="4"/>
      <c r="I294" s="4"/>
      <c r="J294" s="5">
        <f t="shared" si="30"/>
        <v>0</v>
      </c>
      <c r="K294" s="4"/>
      <c r="L294" s="5">
        <f t="shared" si="31"/>
        <v>0</v>
      </c>
      <c r="M294" s="25" t="str">
        <f t="shared" si="32"/>
        <v>\0</v>
      </c>
      <c r="N294" s="23" t="str">
        <f t="shared" si="33"/>
        <v>データなし</v>
      </c>
      <c r="O294" s="24" t="str">
        <f>IF(MID(E294,3,1)=".",
   IF(OR(LEFT(E294,5)=LEFT(E295,5),LEFT(E294,5)=TEXT(E295,"mm.dd")),"",SUM($M$8:M294)-SUM($O$8:O293)),
   IF(OR(TEXT(E294,"mm.dd")=LEFT(E295,5),TEXT(E294,"mm.dd")=TEXT(E295,"mm.dd")),"",SUM($M$8:M294)-SUM($O$8:O293)))</f>
        <v/>
      </c>
    </row>
    <row r="295" spans="2:15" s="6" customFormat="1" ht="13.5" customHeight="1" x14ac:dyDescent="0.25">
      <c r="B295" s="6" t="s">
        <v>15</v>
      </c>
      <c r="C295" s="87" t="str">
        <f t="shared" si="28"/>
        <v/>
      </c>
      <c r="D295" s="2" t="str" cm="1">
        <f t="array" ref="D295">_xll.RssMarket(C295, "銘柄名称")</f>
        <v/>
      </c>
      <c r="E295" s="2" t="str" cm="1">
        <f t="array" ref="E295">_xll.RssMarket(C295, "現在日付")</f>
        <v/>
      </c>
      <c r="F295" s="10" t="str">
        <f t="shared" ca="1" si="29"/>
        <v/>
      </c>
      <c r="G295" s="3"/>
      <c r="H295" s="4"/>
      <c r="I295" s="4"/>
      <c r="J295" s="5">
        <f t="shared" si="30"/>
        <v>0</v>
      </c>
      <c r="K295" s="4"/>
      <c r="L295" s="5">
        <f t="shared" si="31"/>
        <v>0</v>
      </c>
      <c r="M295" s="25" t="str">
        <f t="shared" si="32"/>
        <v>\0</v>
      </c>
      <c r="N295" s="23" t="str">
        <f t="shared" si="33"/>
        <v>データなし</v>
      </c>
      <c r="O295" s="24" t="str">
        <f>IF(MID(E295,3,1)=".",
   IF(OR(LEFT(E295,5)=LEFT(E296,5),LEFT(E295,5)=TEXT(E296,"mm.dd")),"",SUM($M$8:M295)-SUM($O$8:O294)),
   IF(OR(TEXT(E295,"mm.dd")=LEFT(E296,5),TEXT(E295,"mm.dd")=TEXT(E296,"mm.dd")),"",SUM($M$8:M295)-SUM($O$8:O294)))</f>
        <v/>
      </c>
    </row>
    <row r="296" spans="2:15" s="6" customFormat="1" ht="13.5" customHeight="1" x14ac:dyDescent="0.25">
      <c r="B296" s="6" t="s">
        <v>15</v>
      </c>
      <c r="C296" s="87" t="str">
        <f t="shared" si="28"/>
        <v/>
      </c>
      <c r="D296" s="2" t="str" cm="1">
        <f t="array" ref="D296">_xll.RssMarket(C296, "銘柄名称")</f>
        <v/>
      </c>
      <c r="E296" s="2" t="str" cm="1">
        <f t="array" ref="E296">_xll.RssMarket(C296, "現在日付")</f>
        <v/>
      </c>
      <c r="F296" s="10" t="str">
        <f t="shared" ca="1" si="29"/>
        <v/>
      </c>
      <c r="G296" s="3"/>
      <c r="H296" s="4"/>
      <c r="I296" s="4"/>
      <c r="J296" s="5">
        <f t="shared" si="30"/>
        <v>0</v>
      </c>
      <c r="K296" s="4"/>
      <c r="L296" s="5">
        <f t="shared" si="31"/>
        <v>0</v>
      </c>
      <c r="M296" s="25" t="str">
        <f t="shared" si="32"/>
        <v>\0</v>
      </c>
      <c r="N296" s="23" t="str">
        <f t="shared" si="33"/>
        <v>データなし</v>
      </c>
      <c r="O296" s="24" t="str">
        <f>IF(MID(E296,3,1)=".",
   IF(OR(LEFT(E296,5)=LEFT(E297,5),LEFT(E296,5)=TEXT(E297,"mm.dd")),"",SUM($M$8:M296)-SUM($O$8:O295)),
   IF(OR(TEXT(E296,"mm.dd")=LEFT(E297,5),TEXT(E296,"mm.dd")=TEXT(E297,"mm.dd")),"",SUM($M$8:M296)-SUM($O$8:O295)))</f>
        <v/>
      </c>
    </row>
    <row r="297" spans="2:15" s="6" customFormat="1" ht="13.5" customHeight="1" x14ac:dyDescent="0.25">
      <c r="B297" s="6" t="s">
        <v>15</v>
      </c>
      <c r="C297" s="87" t="str">
        <f t="shared" si="28"/>
        <v/>
      </c>
      <c r="D297" s="2" t="str" cm="1">
        <f t="array" ref="D297">_xll.RssMarket(C297, "銘柄名称")</f>
        <v/>
      </c>
      <c r="E297" s="2" t="str" cm="1">
        <f t="array" ref="E297">_xll.RssMarket(C297, "現在日付")</f>
        <v/>
      </c>
      <c r="F297" s="10" t="str">
        <f t="shared" ca="1" si="29"/>
        <v/>
      </c>
      <c r="G297" s="3"/>
      <c r="H297" s="4"/>
      <c r="I297" s="4"/>
      <c r="J297" s="5">
        <f t="shared" si="30"/>
        <v>0</v>
      </c>
      <c r="K297" s="4"/>
      <c r="L297" s="5">
        <f t="shared" si="31"/>
        <v>0</v>
      </c>
      <c r="M297" s="25" t="str">
        <f t="shared" si="32"/>
        <v>\0</v>
      </c>
      <c r="N297" s="23" t="str">
        <f t="shared" si="33"/>
        <v>データなし</v>
      </c>
      <c r="O297" s="24" t="str">
        <f>IF(MID(E297,3,1)=".",
   IF(OR(LEFT(E297,5)=LEFT(E298,5),LEFT(E297,5)=TEXT(E298,"mm.dd")),"",SUM($M$8:M297)-SUM($O$8:O296)),
   IF(OR(TEXT(E297,"mm.dd")=LEFT(E298,5),TEXT(E297,"mm.dd")=TEXT(E298,"mm.dd")),"",SUM($M$8:M297)-SUM($O$8:O296)))</f>
        <v/>
      </c>
    </row>
    <row r="298" spans="2:15" s="6" customFormat="1" ht="13.5" customHeight="1" x14ac:dyDescent="0.25">
      <c r="B298" s="6" t="s">
        <v>15</v>
      </c>
      <c r="C298" s="87" t="str">
        <f t="shared" si="28"/>
        <v/>
      </c>
      <c r="D298" s="2" t="str" cm="1">
        <f t="array" ref="D298">_xll.RssMarket(C298, "銘柄名称")</f>
        <v/>
      </c>
      <c r="E298" s="2" t="str" cm="1">
        <f t="array" ref="E298">_xll.RssMarket(C298, "現在日付")</f>
        <v/>
      </c>
      <c r="F298" s="10" t="str">
        <f t="shared" ca="1" si="29"/>
        <v/>
      </c>
      <c r="G298" s="3"/>
      <c r="H298" s="4"/>
      <c r="I298" s="4"/>
      <c r="J298" s="5">
        <f t="shared" si="30"/>
        <v>0</v>
      </c>
      <c r="K298" s="4"/>
      <c r="L298" s="5">
        <f t="shared" si="31"/>
        <v>0</v>
      </c>
      <c r="M298" s="25" t="str">
        <f t="shared" si="32"/>
        <v>\0</v>
      </c>
      <c r="N298" s="23" t="str">
        <f t="shared" si="33"/>
        <v>データなし</v>
      </c>
      <c r="O298" s="24" t="str">
        <f>IF(MID(E298,3,1)=".",
   IF(OR(LEFT(E298,5)=LEFT(E299,5),LEFT(E298,5)=TEXT(E299,"mm.dd")),"",SUM($M$8:M298)-SUM($O$8:O297)),
   IF(OR(TEXT(E298,"mm.dd")=LEFT(E299,5),TEXT(E298,"mm.dd")=TEXT(E299,"mm.dd")),"",SUM($M$8:M298)-SUM($O$8:O297)))</f>
        <v/>
      </c>
    </row>
    <row r="299" spans="2:15" s="6" customFormat="1" ht="13.5" customHeight="1" x14ac:dyDescent="0.25">
      <c r="B299" s="6" t="s">
        <v>15</v>
      </c>
      <c r="C299" s="87" t="str">
        <f t="shared" si="28"/>
        <v/>
      </c>
      <c r="D299" s="2" t="str" cm="1">
        <f t="array" ref="D299">_xll.RssMarket(C299, "銘柄名称")</f>
        <v/>
      </c>
      <c r="E299" s="2" t="str" cm="1">
        <f t="array" ref="E299">_xll.RssMarket(C299, "現在日付")</f>
        <v/>
      </c>
      <c r="F299" s="10" t="str">
        <f t="shared" ca="1" si="29"/>
        <v/>
      </c>
      <c r="G299" s="3"/>
      <c r="H299" s="4"/>
      <c r="I299" s="4"/>
      <c r="J299" s="5">
        <f t="shared" si="30"/>
        <v>0</v>
      </c>
      <c r="K299" s="4"/>
      <c r="L299" s="5">
        <f t="shared" si="31"/>
        <v>0</v>
      </c>
      <c r="M299" s="25" t="str">
        <f t="shared" si="32"/>
        <v>\0</v>
      </c>
      <c r="N299" s="23" t="str">
        <f t="shared" si="33"/>
        <v>データなし</v>
      </c>
      <c r="O299" s="24" t="str">
        <f>IF(MID(E299,3,1)=".",
   IF(OR(LEFT(E299,5)=LEFT(E300,5),LEFT(E299,5)=TEXT(E300,"mm.dd")),"",SUM($M$8:M299)-SUM($O$8:O298)),
   IF(OR(TEXT(E299,"mm.dd")=LEFT(E300,5),TEXT(E299,"mm.dd")=TEXT(E300,"mm.dd")),"",SUM($M$8:M299)-SUM($O$8:O298)))</f>
        <v/>
      </c>
    </row>
    <row r="300" spans="2:15" s="6" customFormat="1" ht="13.5" customHeight="1" x14ac:dyDescent="0.25">
      <c r="B300" s="6" t="s">
        <v>15</v>
      </c>
      <c r="C300" s="87" t="str">
        <f t="shared" si="28"/>
        <v/>
      </c>
      <c r="D300" s="2" t="str" cm="1">
        <f t="array" ref="D300">_xll.RssMarket(C300, "銘柄名称")</f>
        <v/>
      </c>
      <c r="E300" s="2" t="str" cm="1">
        <f t="array" ref="E300">_xll.RssMarket(C300, "現在日付")</f>
        <v/>
      </c>
      <c r="F300" s="10" t="str">
        <f t="shared" ca="1" si="29"/>
        <v/>
      </c>
      <c r="G300" s="3"/>
      <c r="H300" s="4"/>
      <c r="I300" s="4"/>
      <c r="J300" s="5">
        <f t="shared" si="30"/>
        <v>0</v>
      </c>
      <c r="K300" s="4"/>
      <c r="L300" s="5">
        <f t="shared" si="31"/>
        <v>0</v>
      </c>
      <c r="M300" s="25" t="str">
        <f t="shared" si="32"/>
        <v>\0</v>
      </c>
      <c r="N300" s="23" t="str">
        <f t="shared" si="33"/>
        <v>データなし</v>
      </c>
      <c r="O300" s="24" t="str">
        <f>IF(MID(E300,3,1)=".",
   IF(OR(LEFT(E300,5)=LEFT(E301,5),LEFT(E300,5)=TEXT(E301,"mm.dd")),"",SUM($M$8:M300)-SUM($O$8:O299)),
   IF(OR(TEXT(E300,"mm.dd")=LEFT(E301,5),TEXT(E300,"mm.dd")=TEXT(E301,"mm.dd")),"",SUM($M$8:M300)-SUM($O$8:O299)))</f>
        <v/>
      </c>
    </row>
  </sheetData>
  <mergeCells count="9">
    <mergeCell ref="G4:I4"/>
    <mergeCell ref="J4:K4"/>
    <mergeCell ref="G5:I5"/>
    <mergeCell ref="J5:K5"/>
    <mergeCell ref="D2:E2"/>
    <mergeCell ref="G2:I2"/>
    <mergeCell ref="J2:K2"/>
    <mergeCell ref="G3:I3"/>
    <mergeCell ref="J3:K3"/>
  </mergeCells>
  <phoneticPr fontId="1"/>
  <conditionalFormatting sqref="J5:K5 N8:N300">
    <cfRule type="cellIs" dxfId="12" priority="18" operator="lessThan">
      <formula>0</formula>
    </cfRule>
  </conditionalFormatting>
  <conditionalFormatting sqref="O8:O300">
    <cfRule type="notContainsBlanks" dxfId="11" priority="1334">
      <formula>LEN(TRIM(O8))&gt;0</formula>
    </cfRule>
  </conditionalFormatting>
  <conditionalFormatting sqref="C8:C300">
    <cfRule type="expression" dxfId="10" priority="17">
      <formula>IF(COUNTIF(A:A,A8)&gt;1,TRUE,FALSE)</formula>
    </cfRule>
  </conditionalFormatting>
  <conditionalFormatting sqref="J4:K4">
    <cfRule type="expression" dxfId="9" priority="15">
      <formula>MOD(ROW(),2)=1</formula>
    </cfRule>
    <cfRule type="expression" dxfId="8" priority="16">
      <formula>MOD(ROW(),2)=1</formula>
    </cfRule>
  </conditionalFormatting>
  <conditionalFormatting sqref="C8:AG35">
    <cfRule type="expression" dxfId="7" priority="14">
      <formula>MOD(ROW(),2)=1</formula>
    </cfRule>
  </conditionalFormatting>
  <conditionalFormatting sqref="C36:AG300">
    <cfRule type="expression" dxfId="6" priority="2">
      <formula>MOD(ROW(),2)=1</formula>
    </cfRule>
  </conditionalFormatting>
  <conditionalFormatting sqref="D8:D300">
    <cfRule type="expression" dxfId="5" priority="1">
      <formula>M8&lt;0</formula>
    </cfRule>
  </conditionalFormatting>
  <dataValidations count="2">
    <dataValidation type="list" allowBlank="1" showInputMessage="1" showErrorMessage="1" sqref="B8:B300" xr:uid="{F97CB4D4-A177-4FE3-94A6-B6FA307ED47B}">
      <formula1>"　,売"</formula1>
    </dataValidation>
    <dataValidation type="list" allowBlank="1" showInputMessage="1" showErrorMessage="1" sqref="G8:G300" xr:uid="{6FD7B8D9-B091-4AF5-8DFE-B1E511403F6B}">
      <formula1>"100,200,300,400,500,600,700,800,900,1000"</formula1>
    </dataValidation>
  </dataValidations>
  <hyperlinks>
    <hyperlink ref="D33" r:id="rId1" xr:uid="{F8C421D0-D935-4876-A115-ABB8DC5DBF69}"/>
    <hyperlink ref="D31" r:id="rId2" xr:uid="{77766BFA-E27E-4BFF-93DF-818151AA7020}"/>
  </hyperlinks>
  <pageMargins left="0.78749999999999998" right="0.78749999999999998" top="0.98402777777777795" bottom="0.98402777777777795" header="0.51180555555555496" footer="0.51180555555555496"/>
  <pageSetup paperSize="9" scale="85" firstPageNumber="0" orientation="landscape" horizontalDpi="300" verticalDpi="300"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値の貼り付け">
                <anchor moveWithCells="1">
                  <from>
                    <xdr:col>11</xdr:col>
                    <xdr:colOff>523875</xdr:colOff>
                    <xdr:row>2</xdr:row>
                    <xdr:rowOff>133350</xdr:rowOff>
                  </from>
                  <to>
                    <xdr:col>13</xdr:col>
                    <xdr:colOff>76200</xdr:colOff>
                    <xdr:row>4</xdr:row>
                    <xdr:rowOff>142875</xdr:rowOff>
                  </to>
                </anchor>
              </controlPr>
            </control>
          </mc:Choice>
        </mc:AlternateContent>
        <mc:AlternateContent xmlns:mc="http://schemas.openxmlformats.org/markup-compatibility/2006">
          <mc:Choice Requires="x14">
            <control shapeId="1034" r:id="rId7" name="Button 10">
              <controlPr defaultSize="0" print="0" autoFill="0" autoPict="0" macro="[0]!今日現在の収益" altText="今日現在の収益">
                <anchor moveWithCells="1">
                  <from>
                    <xdr:col>3</xdr:col>
                    <xdr:colOff>104775</xdr:colOff>
                    <xdr:row>3</xdr:row>
                    <xdr:rowOff>57150</xdr:rowOff>
                  </from>
                  <to>
                    <xdr:col>3</xdr:col>
                    <xdr:colOff>1133475</xdr:colOff>
                    <xdr:row>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MK103"/>
  <sheetViews>
    <sheetView tabSelected="1" zoomScaleNormal="100" workbookViewId="0">
      <pane ySplit="1" topLeftCell="A30" activePane="bottomLeft" state="frozen"/>
      <selection activeCell="C1" sqref="C1"/>
      <selection pane="bottomLeft" activeCell="A44" sqref="A44"/>
    </sheetView>
  </sheetViews>
  <sheetFormatPr defaultColWidth="8.7109375" defaultRowHeight="12" x14ac:dyDescent="0.15"/>
  <cols>
    <col min="1" max="1" width="5.85546875" customWidth="1"/>
    <col min="2" max="2" width="14.5703125" customWidth="1"/>
    <col min="3" max="3" width="22.7109375" customWidth="1"/>
    <col min="4" max="4" width="81.42578125" customWidth="1"/>
    <col min="5" max="5" width="84.85546875" customWidth="1"/>
    <col min="6" max="6" width="10.140625" customWidth="1"/>
    <col min="7" max="7" width="9.5703125" customWidth="1"/>
  </cols>
  <sheetData>
    <row r="1" spans="1:1025" s="1" customFormat="1" ht="42.75" x14ac:dyDescent="0.25">
      <c r="A1" s="1" t="s">
        <v>16</v>
      </c>
      <c r="B1" s="28" t="s">
        <v>17</v>
      </c>
      <c r="C1" s="60" t="s">
        <v>1170</v>
      </c>
      <c r="D1" s="40" t="s">
        <v>1171</v>
      </c>
      <c r="E1" s="1" t="s">
        <v>18</v>
      </c>
      <c r="F1" s="58" t="s">
        <v>1162</v>
      </c>
      <c r="G1" s="58" t="s">
        <v>1226</v>
      </c>
      <c r="H1" s="1" t="s">
        <v>19</v>
      </c>
      <c r="I1" s="1" t="s">
        <v>20</v>
      </c>
      <c r="J1" s="1" t="s">
        <v>21</v>
      </c>
      <c r="K1" s="1" t="s">
        <v>22</v>
      </c>
      <c r="L1" s="1" t="s">
        <v>23</v>
      </c>
      <c r="M1" s="1" t="s">
        <v>24</v>
      </c>
      <c r="N1" s="1" t="s">
        <v>25</v>
      </c>
      <c r="O1" s="1" t="s">
        <v>26</v>
      </c>
      <c r="P1" s="1" t="s">
        <v>27</v>
      </c>
      <c r="Q1" s="1" t="s">
        <v>28</v>
      </c>
      <c r="R1" s="1" t="s">
        <v>29</v>
      </c>
      <c r="S1" s="1" t="s">
        <v>30</v>
      </c>
      <c r="T1" s="1" t="s">
        <v>31</v>
      </c>
      <c r="U1" s="1" t="s">
        <v>32</v>
      </c>
      <c r="V1" s="1" t="s">
        <v>33</v>
      </c>
      <c r="W1" s="1" t="s">
        <v>34</v>
      </c>
      <c r="X1" s="1" t="s">
        <v>35</v>
      </c>
      <c r="Y1" s="1" t="s">
        <v>36</v>
      </c>
      <c r="Z1" s="1" t="s">
        <v>37</v>
      </c>
      <c r="AA1" s="1" t="s">
        <v>38</v>
      </c>
      <c r="AB1" s="1" t="s">
        <v>39</v>
      </c>
      <c r="AC1" s="1" t="s">
        <v>40</v>
      </c>
      <c r="AD1" s="1" t="s">
        <v>41</v>
      </c>
      <c r="AE1" s="1" t="s">
        <v>42</v>
      </c>
      <c r="AF1" s="1" t="s">
        <v>43</v>
      </c>
      <c r="AG1" s="1" t="s">
        <v>44</v>
      </c>
      <c r="AH1" s="1" t="s">
        <v>45</v>
      </c>
      <c r="AI1" s="1" t="s">
        <v>46</v>
      </c>
      <c r="AJ1" s="1" t="s">
        <v>47</v>
      </c>
      <c r="AK1" s="1" t="s">
        <v>48</v>
      </c>
      <c r="AL1" s="1" t="s">
        <v>49</v>
      </c>
      <c r="AM1" s="1" t="s">
        <v>50</v>
      </c>
      <c r="AN1" s="1" t="s">
        <v>51</v>
      </c>
      <c r="AO1" s="1" t="s">
        <v>52</v>
      </c>
      <c r="AP1" s="1" t="s">
        <v>53</v>
      </c>
      <c r="AQ1" s="1" t="s">
        <v>54</v>
      </c>
      <c r="AR1" s="1" t="s">
        <v>55</v>
      </c>
      <c r="AS1" s="1" t="s">
        <v>56</v>
      </c>
      <c r="AT1" s="1" t="s">
        <v>57</v>
      </c>
      <c r="AU1" s="1" t="s">
        <v>58</v>
      </c>
      <c r="AV1" s="1" t="s">
        <v>59</v>
      </c>
      <c r="AW1" s="1" t="s">
        <v>60</v>
      </c>
      <c r="AX1" s="1" t="s">
        <v>61</v>
      </c>
      <c r="AY1" s="1" t="s">
        <v>62</v>
      </c>
      <c r="AZ1" s="1" t="s">
        <v>63</v>
      </c>
      <c r="BA1" s="1" t="s">
        <v>64</v>
      </c>
      <c r="BB1" s="1" t="s">
        <v>65</v>
      </c>
      <c r="BC1" s="1" t="s">
        <v>66</v>
      </c>
      <c r="BD1" s="1" t="s">
        <v>67</v>
      </c>
      <c r="BE1" s="1" t="s">
        <v>68</v>
      </c>
      <c r="BF1" s="1" t="s">
        <v>69</v>
      </c>
      <c r="BG1" s="1" t="s">
        <v>70</v>
      </c>
      <c r="BH1" s="1" t="s">
        <v>71</v>
      </c>
      <c r="BI1" s="1" t="s">
        <v>72</v>
      </c>
      <c r="BJ1" s="1" t="s">
        <v>73</v>
      </c>
      <c r="BK1" s="1" t="s">
        <v>74</v>
      </c>
      <c r="BL1" s="1" t="s">
        <v>75</v>
      </c>
      <c r="BM1" s="1" t="s">
        <v>76</v>
      </c>
      <c r="BN1" s="1" t="s">
        <v>77</v>
      </c>
      <c r="BO1" s="1" t="s">
        <v>78</v>
      </c>
      <c r="BP1" s="1" t="s">
        <v>79</v>
      </c>
      <c r="BQ1" s="1" t="s">
        <v>80</v>
      </c>
      <c r="BR1" s="1" t="s">
        <v>81</v>
      </c>
      <c r="BS1" s="1" t="s">
        <v>82</v>
      </c>
      <c r="BT1" s="1" t="s">
        <v>83</v>
      </c>
      <c r="BU1" s="1" t="s">
        <v>84</v>
      </c>
      <c r="BV1" s="1" t="s">
        <v>85</v>
      </c>
      <c r="BW1" s="1" t="s">
        <v>86</v>
      </c>
      <c r="BX1" s="1" t="s">
        <v>87</v>
      </c>
      <c r="BY1" s="1" t="s">
        <v>88</v>
      </c>
      <c r="BZ1" s="1" t="s">
        <v>89</v>
      </c>
      <c r="CA1" s="1" t="s">
        <v>90</v>
      </c>
      <c r="CB1" s="1" t="s">
        <v>91</v>
      </c>
      <c r="CC1" s="1" t="s">
        <v>92</v>
      </c>
      <c r="CD1" s="1" t="s">
        <v>93</v>
      </c>
      <c r="CE1" s="1" t="s">
        <v>94</v>
      </c>
      <c r="CF1" s="1" t="s">
        <v>95</v>
      </c>
      <c r="CG1" s="1" t="s">
        <v>96</v>
      </c>
      <c r="CH1" s="1" t="s">
        <v>97</v>
      </c>
      <c r="CI1" s="1" t="s">
        <v>98</v>
      </c>
      <c r="CJ1" s="1" t="s">
        <v>99</v>
      </c>
      <c r="CK1" s="1" t="s">
        <v>100</v>
      </c>
      <c r="CL1" s="1" t="s">
        <v>101</v>
      </c>
      <c r="CM1" s="1" t="s">
        <v>102</v>
      </c>
      <c r="CN1" s="1" t="s">
        <v>103</v>
      </c>
      <c r="CO1" s="1" t="s">
        <v>104</v>
      </c>
      <c r="CP1" s="1" t="s">
        <v>105</v>
      </c>
      <c r="CQ1" s="1" t="s">
        <v>106</v>
      </c>
      <c r="CR1" s="1" t="s">
        <v>107</v>
      </c>
      <c r="CS1" s="1" t="s">
        <v>108</v>
      </c>
      <c r="CT1" s="1" t="s">
        <v>109</v>
      </c>
      <c r="CU1" s="1" t="s">
        <v>110</v>
      </c>
      <c r="CV1" s="1" t="s">
        <v>111</v>
      </c>
      <c r="CW1" s="1" t="s">
        <v>112</v>
      </c>
      <c r="CX1" s="1" t="s">
        <v>113</v>
      </c>
      <c r="CY1" s="1" t="s">
        <v>114</v>
      </c>
      <c r="CZ1" s="1" t="s">
        <v>115</v>
      </c>
      <c r="DA1" s="1" t="s">
        <v>116</v>
      </c>
      <c r="DB1" s="1" t="s">
        <v>117</v>
      </c>
      <c r="DC1" s="1" t="s">
        <v>118</v>
      </c>
      <c r="DD1" s="1" t="s">
        <v>119</v>
      </c>
      <c r="DE1" s="1" t="s">
        <v>120</v>
      </c>
      <c r="DF1" s="1" t="s">
        <v>121</v>
      </c>
      <c r="DG1" s="1" t="s">
        <v>122</v>
      </c>
      <c r="DH1" s="1" t="s">
        <v>123</v>
      </c>
      <c r="DI1" s="1" t="s">
        <v>124</v>
      </c>
      <c r="DJ1" s="1" t="s">
        <v>125</v>
      </c>
      <c r="DK1" s="1" t="s">
        <v>126</v>
      </c>
      <c r="DL1" s="1" t="s">
        <v>127</v>
      </c>
      <c r="DM1" s="1" t="s">
        <v>128</v>
      </c>
      <c r="DN1" s="1" t="s">
        <v>129</v>
      </c>
      <c r="DO1" s="1" t="s">
        <v>130</v>
      </c>
      <c r="DP1" s="1" t="s">
        <v>131</v>
      </c>
      <c r="DQ1" s="1" t="s">
        <v>132</v>
      </c>
      <c r="DR1" s="1" t="s">
        <v>133</v>
      </c>
      <c r="DS1" s="1" t="s">
        <v>134</v>
      </c>
      <c r="DT1" s="1" t="s">
        <v>135</v>
      </c>
      <c r="DU1" s="1" t="s">
        <v>136</v>
      </c>
      <c r="DV1" s="1" t="s">
        <v>137</v>
      </c>
      <c r="DW1" s="1" t="s">
        <v>138</v>
      </c>
      <c r="DX1" s="1" t="s">
        <v>139</v>
      </c>
      <c r="DY1" s="1" t="s">
        <v>140</v>
      </c>
      <c r="DZ1" s="1" t="s">
        <v>141</v>
      </c>
      <c r="EA1" s="1" t="s">
        <v>142</v>
      </c>
      <c r="EB1" s="1" t="s">
        <v>143</v>
      </c>
      <c r="EC1" s="1" t="s">
        <v>144</v>
      </c>
      <c r="ED1" s="1" t="s">
        <v>145</v>
      </c>
      <c r="EE1" s="1" t="s">
        <v>146</v>
      </c>
      <c r="EF1" s="1" t="s">
        <v>147</v>
      </c>
      <c r="EG1" s="1" t="s">
        <v>148</v>
      </c>
      <c r="EH1" s="1" t="s">
        <v>149</v>
      </c>
      <c r="EI1" s="1" t="s">
        <v>150</v>
      </c>
      <c r="EJ1" s="1" t="s">
        <v>151</v>
      </c>
      <c r="EK1" s="1" t="s">
        <v>152</v>
      </c>
      <c r="EL1" s="1" t="s">
        <v>153</v>
      </c>
      <c r="EM1" s="1" t="s">
        <v>154</v>
      </c>
      <c r="EN1" s="1" t="s">
        <v>155</v>
      </c>
      <c r="EO1" s="1" t="s">
        <v>156</v>
      </c>
      <c r="EP1" s="1" t="s">
        <v>157</v>
      </c>
      <c r="EQ1" s="1" t="s">
        <v>158</v>
      </c>
      <c r="ER1" s="1" t="s">
        <v>159</v>
      </c>
      <c r="ES1" s="1" t="s">
        <v>160</v>
      </c>
      <c r="ET1" s="1" t="s">
        <v>161</v>
      </c>
      <c r="EU1" s="1" t="s">
        <v>162</v>
      </c>
      <c r="EV1" s="1" t="s">
        <v>163</v>
      </c>
      <c r="EW1" s="1" t="s">
        <v>164</v>
      </c>
      <c r="EX1" s="1" t="s">
        <v>165</v>
      </c>
      <c r="EY1" s="1" t="s">
        <v>166</v>
      </c>
      <c r="EZ1" s="1" t="s">
        <v>167</v>
      </c>
      <c r="FA1" s="1" t="s">
        <v>168</v>
      </c>
      <c r="FB1" s="1" t="s">
        <v>169</v>
      </c>
      <c r="FC1" s="1" t="s">
        <v>170</v>
      </c>
      <c r="FD1" s="1" t="s">
        <v>171</v>
      </c>
      <c r="FE1" s="1" t="s">
        <v>172</v>
      </c>
      <c r="FF1" s="1" t="s">
        <v>173</v>
      </c>
      <c r="FG1" s="1" t="s">
        <v>174</v>
      </c>
      <c r="FH1" s="1" t="s">
        <v>175</v>
      </c>
      <c r="FI1" s="1" t="s">
        <v>176</v>
      </c>
      <c r="FJ1" s="1" t="s">
        <v>177</v>
      </c>
      <c r="FK1" s="1" t="s">
        <v>178</v>
      </c>
      <c r="FL1" s="1" t="s">
        <v>179</v>
      </c>
      <c r="FM1" s="1" t="s">
        <v>180</v>
      </c>
      <c r="FN1" s="1" t="s">
        <v>181</v>
      </c>
      <c r="FO1" s="1" t="s">
        <v>182</v>
      </c>
      <c r="FP1" s="1" t="s">
        <v>183</v>
      </c>
      <c r="FQ1" s="1" t="s">
        <v>184</v>
      </c>
      <c r="FR1" s="1" t="s">
        <v>185</v>
      </c>
      <c r="FS1" s="1" t="s">
        <v>186</v>
      </c>
      <c r="FT1" s="1" t="s">
        <v>187</v>
      </c>
      <c r="FU1" s="1" t="s">
        <v>188</v>
      </c>
      <c r="FV1" s="1" t="s">
        <v>189</v>
      </c>
      <c r="FW1" s="1" t="s">
        <v>190</v>
      </c>
      <c r="FX1" s="1" t="s">
        <v>191</v>
      </c>
      <c r="FY1" s="1" t="s">
        <v>192</v>
      </c>
      <c r="FZ1" s="1" t="s">
        <v>193</v>
      </c>
      <c r="GA1" s="1" t="s">
        <v>194</v>
      </c>
      <c r="GB1" s="1" t="s">
        <v>195</v>
      </c>
      <c r="GC1" s="1" t="s">
        <v>196</v>
      </c>
      <c r="GD1" s="1" t="s">
        <v>197</v>
      </c>
      <c r="GE1" s="1" t="s">
        <v>198</v>
      </c>
      <c r="GF1" s="1" t="s">
        <v>199</v>
      </c>
      <c r="GG1" s="1" t="s">
        <v>200</v>
      </c>
      <c r="GH1" s="1" t="s">
        <v>201</v>
      </c>
      <c r="GI1" s="1" t="s">
        <v>202</v>
      </c>
      <c r="GJ1" s="1" t="s">
        <v>203</v>
      </c>
      <c r="GK1" s="1" t="s">
        <v>204</v>
      </c>
      <c r="GL1" s="1" t="s">
        <v>205</v>
      </c>
      <c r="GM1" s="1" t="s">
        <v>206</v>
      </c>
      <c r="GN1" s="1" t="s">
        <v>207</v>
      </c>
      <c r="GO1" s="1" t="s">
        <v>208</v>
      </c>
      <c r="GP1" s="1" t="s">
        <v>209</v>
      </c>
      <c r="GQ1" s="1" t="s">
        <v>210</v>
      </c>
      <c r="GR1" s="1" t="s">
        <v>211</v>
      </c>
      <c r="GS1" s="1" t="s">
        <v>212</v>
      </c>
      <c r="GT1" s="1" t="s">
        <v>213</v>
      </c>
      <c r="GU1" s="1" t="s">
        <v>214</v>
      </c>
      <c r="GV1" s="1" t="s">
        <v>215</v>
      </c>
      <c r="GW1" s="1" t="s">
        <v>216</v>
      </c>
      <c r="GX1" s="1" t="s">
        <v>217</v>
      </c>
      <c r="GY1" s="1" t="s">
        <v>218</v>
      </c>
      <c r="GZ1" s="1" t="s">
        <v>219</v>
      </c>
      <c r="HA1" s="1" t="s">
        <v>220</v>
      </c>
      <c r="HB1" s="1" t="s">
        <v>221</v>
      </c>
      <c r="HC1" s="1" t="s">
        <v>222</v>
      </c>
      <c r="HD1" s="1" t="s">
        <v>223</v>
      </c>
      <c r="HE1" s="1" t="s">
        <v>224</v>
      </c>
      <c r="HF1" s="1" t="s">
        <v>225</v>
      </c>
      <c r="HG1" s="1" t="s">
        <v>226</v>
      </c>
      <c r="HH1" s="1" t="s">
        <v>227</v>
      </c>
      <c r="HI1" s="1" t="s">
        <v>228</v>
      </c>
      <c r="HJ1" s="1" t="s">
        <v>229</v>
      </c>
      <c r="HK1" s="1" t="s">
        <v>230</v>
      </c>
      <c r="HL1" s="1" t="s">
        <v>231</v>
      </c>
      <c r="HM1" s="1" t="s">
        <v>232</v>
      </c>
      <c r="HN1" s="1" t="s">
        <v>233</v>
      </c>
      <c r="HO1" s="1" t="s">
        <v>234</v>
      </c>
      <c r="HP1" s="1" t="s">
        <v>235</v>
      </c>
      <c r="HQ1" s="1" t="s">
        <v>236</v>
      </c>
      <c r="HR1" s="1" t="s">
        <v>237</v>
      </c>
      <c r="HS1" s="1" t="s">
        <v>238</v>
      </c>
      <c r="HT1" s="1" t="s">
        <v>239</v>
      </c>
      <c r="HU1" s="1" t="s">
        <v>240</v>
      </c>
      <c r="HV1" s="1" t="s">
        <v>241</v>
      </c>
      <c r="HW1" s="1" t="s">
        <v>242</v>
      </c>
      <c r="HX1" s="1" t="s">
        <v>243</v>
      </c>
      <c r="HY1" s="1" t="s">
        <v>244</v>
      </c>
      <c r="HZ1" s="1" t="s">
        <v>245</v>
      </c>
      <c r="IA1" s="1" t="s">
        <v>246</v>
      </c>
      <c r="IB1" s="1" t="s">
        <v>247</v>
      </c>
      <c r="IC1" s="1" t="s">
        <v>248</v>
      </c>
      <c r="ID1" s="1" t="s">
        <v>249</v>
      </c>
      <c r="IE1" s="1" t="s">
        <v>250</v>
      </c>
      <c r="IF1" s="1" t="s">
        <v>251</v>
      </c>
      <c r="IG1" s="1" t="s">
        <v>252</v>
      </c>
      <c r="IH1" s="1" t="s">
        <v>253</v>
      </c>
      <c r="II1" s="1" t="s">
        <v>254</v>
      </c>
      <c r="IJ1" s="1" t="s">
        <v>255</v>
      </c>
      <c r="IK1" s="1" t="s">
        <v>256</v>
      </c>
      <c r="IL1" s="1" t="s">
        <v>257</v>
      </c>
      <c r="IM1" s="1" t="s">
        <v>258</v>
      </c>
      <c r="IN1" s="1" t="s">
        <v>259</v>
      </c>
      <c r="IO1" s="1" t="s">
        <v>260</v>
      </c>
      <c r="IP1" s="1" t="s">
        <v>261</v>
      </c>
      <c r="IQ1" s="1" t="s">
        <v>262</v>
      </c>
      <c r="IR1" s="1" t="s">
        <v>263</v>
      </c>
      <c r="IS1" s="1" t="s">
        <v>264</v>
      </c>
      <c r="IT1" s="1" t="s">
        <v>265</v>
      </c>
      <c r="IU1" s="1" t="s">
        <v>266</v>
      </c>
      <c r="IV1" s="1" t="s">
        <v>267</v>
      </c>
      <c r="IW1" s="1" t="s">
        <v>268</v>
      </c>
      <c r="IX1" s="1" t="s">
        <v>269</v>
      </c>
      <c r="IY1" s="1" t="s">
        <v>270</v>
      </c>
      <c r="IZ1" s="1" t="s">
        <v>271</v>
      </c>
      <c r="JA1" s="1" t="s">
        <v>272</v>
      </c>
      <c r="JB1" s="1" t="s">
        <v>273</v>
      </c>
      <c r="JC1" s="1" t="s">
        <v>274</v>
      </c>
      <c r="JD1" s="1" t="s">
        <v>275</v>
      </c>
      <c r="JE1" s="1" t="s">
        <v>276</v>
      </c>
      <c r="JF1" s="1" t="s">
        <v>277</v>
      </c>
      <c r="JG1" s="1" t="s">
        <v>278</v>
      </c>
      <c r="JH1" s="1" t="s">
        <v>279</v>
      </c>
      <c r="JI1" s="1" t="s">
        <v>280</v>
      </c>
      <c r="JJ1" s="1" t="s">
        <v>281</v>
      </c>
      <c r="JK1" s="1" t="s">
        <v>282</v>
      </c>
      <c r="JL1" s="1" t="s">
        <v>283</v>
      </c>
      <c r="JM1" s="1" t="s">
        <v>284</v>
      </c>
      <c r="JN1" s="1" t="s">
        <v>285</v>
      </c>
      <c r="JO1" s="1" t="s">
        <v>286</v>
      </c>
      <c r="JP1" s="1" t="s">
        <v>287</v>
      </c>
      <c r="JQ1" s="1" t="s">
        <v>288</v>
      </c>
      <c r="JR1" s="1" t="s">
        <v>289</v>
      </c>
      <c r="JS1" s="1" t="s">
        <v>290</v>
      </c>
      <c r="JT1" s="1" t="s">
        <v>291</v>
      </c>
      <c r="JU1" s="1" t="s">
        <v>292</v>
      </c>
      <c r="JV1" s="1" t="s">
        <v>293</v>
      </c>
      <c r="JW1" s="1" t="s">
        <v>294</v>
      </c>
      <c r="JX1" s="1" t="s">
        <v>295</v>
      </c>
      <c r="JY1" s="1" t="s">
        <v>296</v>
      </c>
      <c r="JZ1" s="1" t="s">
        <v>297</v>
      </c>
      <c r="KA1" s="1" t="s">
        <v>298</v>
      </c>
      <c r="KB1" s="1" t="s">
        <v>299</v>
      </c>
      <c r="KC1" s="1" t="s">
        <v>300</v>
      </c>
      <c r="KD1" s="1" t="s">
        <v>301</v>
      </c>
      <c r="KE1" s="1" t="s">
        <v>302</v>
      </c>
      <c r="KF1" s="1" t="s">
        <v>303</v>
      </c>
      <c r="KG1" s="1" t="s">
        <v>304</v>
      </c>
      <c r="KH1" s="1" t="s">
        <v>305</v>
      </c>
      <c r="KI1" s="1" t="s">
        <v>306</v>
      </c>
      <c r="KJ1" s="1" t="s">
        <v>307</v>
      </c>
      <c r="KK1" s="1" t="s">
        <v>308</v>
      </c>
      <c r="KL1" s="1" t="s">
        <v>309</v>
      </c>
      <c r="KM1" s="1" t="s">
        <v>310</v>
      </c>
      <c r="KN1" s="1" t="s">
        <v>311</v>
      </c>
      <c r="KO1" s="1" t="s">
        <v>312</v>
      </c>
      <c r="KP1" s="1" t="s">
        <v>313</v>
      </c>
      <c r="KQ1" s="1" t="s">
        <v>314</v>
      </c>
      <c r="KR1" s="1" t="s">
        <v>315</v>
      </c>
      <c r="KS1" s="1" t="s">
        <v>316</v>
      </c>
      <c r="KT1" s="1" t="s">
        <v>317</v>
      </c>
      <c r="KU1" s="1" t="s">
        <v>318</v>
      </c>
      <c r="KV1" s="1" t="s">
        <v>319</v>
      </c>
      <c r="KW1" s="1" t="s">
        <v>320</v>
      </c>
      <c r="KX1" s="1" t="s">
        <v>321</v>
      </c>
      <c r="KY1" s="1" t="s">
        <v>322</v>
      </c>
      <c r="KZ1" s="1" t="s">
        <v>323</v>
      </c>
      <c r="LA1" s="1" t="s">
        <v>324</v>
      </c>
      <c r="LB1" s="1" t="s">
        <v>325</v>
      </c>
      <c r="LC1" s="1" t="s">
        <v>326</v>
      </c>
      <c r="LD1" s="1" t="s">
        <v>327</v>
      </c>
      <c r="LE1" s="1" t="s">
        <v>328</v>
      </c>
      <c r="LF1" s="1" t="s">
        <v>329</v>
      </c>
      <c r="LG1" s="1" t="s">
        <v>330</v>
      </c>
      <c r="LH1" s="1" t="s">
        <v>331</v>
      </c>
      <c r="LI1" s="1" t="s">
        <v>332</v>
      </c>
      <c r="LJ1" s="1" t="s">
        <v>333</v>
      </c>
      <c r="LK1" s="1" t="s">
        <v>334</v>
      </c>
      <c r="LL1" s="1" t="s">
        <v>335</v>
      </c>
      <c r="LM1" s="1" t="s">
        <v>336</v>
      </c>
      <c r="LN1" s="1" t="s">
        <v>337</v>
      </c>
      <c r="LO1" s="1" t="s">
        <v>338</v>
      </c>
      <c r="LP1" s="1" t="s">
        <v>339</v>
      </c>
      <c r="LQ1" s="1" t="s">
        <v>340</v>
      </c>
      <c r="LR1" s="1" t="s">
        <v>341</v>
      </c>
      <c r="LS1" s="1" t="s">
        <v>342</v>
      </c>
      <c r="LT1" s="1" t="s">
        <v>343</v>
      </c>
      <c r="LU1" s="1" t="s">
        <v>344</v>
      </c>
      <c r="LV1" s="1" t="s">
        <v>345</v>
      </c>
      <c r="LW1" s="1" t="s">
        <v>346</v>
      </c>
      <c r="LX1" s="1" t="s">
        <v>347</v>
      </c>
      <c r="LY1" s="1" t="s">
        <v>348</v>
      </c>
      <c r="LZ1" s="1" t="s">
        <v>349</v>
      </c>
      <c r="MA1" s="1" t="s">
        <v>350</v>
      </c>
      <c r="MB1" s="1" t="s">
        <v>351</v>
      </c>
      <c r="MC1" s="1" t="s">
        <v>352</v>
      </c>
      <c r="MD1" s="1" t="s">
        <v>353</v>
      </c>
      <c r="ME1" s="1" t="s">
        <v>354</v>
      </c>
      <c r="MF1" s="1" t="s">
        <v>355</v>
      </c>
      <c r="MG1" s="1" t="s">
        <v>356</v>
      </c>
      <c r="MH1" s="1" t="s">
        <v>357</v>
      </c>
      <c r="MI1" s="1" t="s">
        <v>358</v>
      </c>
      <c r="MJ1" s="1" t="s">
        <v>359</v>
      </c>
      <c r="MK1" s="1" t="s">
        <v>360</v>
      </c>
      <c r="ML1" s="1" t="s">
        <v>361</v>
      </c>
      <c r="MM1" s="1" t="s">
        <v>362</v>
      </c>
      <c r="MN1" s="1" t="s">
        <v>363</v>
      </c>
      <c r="MO1" s="1" t="s">
        <v>364</v>
      </c>
      <c r="MP1" s="1" t="s">
        <v>365</v>
      </c>
      <c r="MQ1" s="1" t="s">
        <v>366</v>
      </c>
      <c r="MR1" s="1" t="s">
        <v>367</v>
      </c>
      <c r="MS1" s="1" t="s">
        <v>368</v>
      </c>
      <c r="MT1" s="1" t="s">
        <v>369</v>
      </c>
      <c r="MU1" s="1" t="s">
        <v>370</v>
      </c>
      <c r="MV1" s="1" t="s">
        <v>371</v>
      </c>
      <c r="MW1" s="1" t="s">
        <v>372</v>
      </c>
      <c r="MX1" s="1" t="s">
        <v>373</v>
      </c>
      <c r="MY1" s="1" t="s">
        <v>374</v>
      </c>
      <c r="MZ1" s="1" t="s">
        <v>375</v>
      </c>
      <c r="NA1" s="1" t="s">
        <v>376</v>
      </c>
      <c r="NB1" s="1" t="s">
        <v>377</v>
      </c>
      <c r="NC1" s="1" t="s">
        <v>378</v>
      </c>
      <c r="ND1" s="1" t="s">
        <v>379</v>
      </c>
      <c r="NE1" s="1" t="s">
        <v>380</v>
      </c>
      <c r="NF1" s="1" t="s">
        <v>381</v>
      </c>
      <c r="NG1" s="1" t="s">
        <v>382</v>
      </c>
      <c r="NH1" s="1" t="s">
        <v>383</v>
      </c>
      <c r="NI1" s="1" t="s">
        <v>384</v>
      </c>
      <c r="NJ1" s="1" t="s">
        <v>385</v>
      </c>
      <c r="NK1" s="1" t="s">
        <v>386</v>
      </c>
      <c r="NL1" s="1" t="s">
        <v>387</v>
      </c>
      <c r="NM1" s="1" t="s">
        <v>388</v>
      </c>
      <c r="NN1" s="1" t="s">
        <v>389</v>
      </c>
      <c r="NO1" s="1" t="s">
        <v>390</v>
      </c>
      <c r="NP1" s="1" t="s">
        <v>391</v>
      </c>
      <c r="NQ1" s="1" t="s">
        <v>392</v>
      </c>
      <c r="NR1" s="1" t="s">
        <v>393</v>
      </c>
      <c r="NS1" s="1" t="s">
        <v>394</v>
      </c>
      <c r="NT1" s="1" t="s">
        <v>395</v>
      </c>
      <c r="NU1" s="1" t="s">
        <v>396</v>
      </c>
      <c r="NV1" s="1" t="s">
        <v>397</v>
      </c>
      <c r="NW1" s="1" t="s">
        <v>398</v>
      </c>
      <c r="NX1" s="1" t="s">
        <v>399</v>
      </c>
      <c r="NY1" s="1" t="s">
        <v>400</v>
      </c>
      <c r="NZ1" s="1" t="s">
        <v>401</v>
      </c>
      <c r="OA1" s="1" t="s">
        <v>402</v>
      </c>
      <c r="OB1" s="1" t="s">
        <v>403</v>
      </c>
      <c r="OC1" s="1" t="s">
        <v>404</v>
      </c>
      <c r="OD1" s="1" t="s">
        <v>405</v>
      </c>
      <c r="OE1" s="1" t="s">
        <v>406</v>
      </c>
      <c r="OF1" s="1" t="s">
        <v>407</v>
      </c>
      <c r="OG1" s="1" t="s">
        <v>408</v>
      </c>
      <c r="OH1" s="1" t="s">
        <v>409</v>
      </c>
      <c r="OI1" s="1" t="s">
        <v>410</v>
      </c>
      <c r="OJ1" s="1" t="s">
        <v>411</v>
      </c>
      <c r="OK1" s="1" t="s">
        <v>412</v>
      </c>
      <c r="OL1" s="1" t="s">
        <v>413</v>
      </c>
      <c r="OM1" s="1" t="s">
        <v>414</v>
      </c>
      <c r="ON1" s="1" t="s">
        <v>415</v>
      </c>
      <c r="OO1" s="1" t="s">
        <v>416</v>
      </c>
      <c r="OP1" s="1" t="s">
        <v>417</v>
      </c>
      <c r="OQ1" s="1" t="s">
        <v>418</v>
      </c>
      <c r="OR1" s="1" t="s">
        <v>419</v>
      </c>
      <c r="OS1" s="1" t="s">
        <v>420</v>
      </c>
      <c r="OT1" s="1" t="s">
        <v>421</v>
      </c>
      <c r="OU1" s="1" t="s">
        <v>422</v>
      </c>
      <c r="OV1" s="1" t="s">
        <v>423</v>
      </c>
      <c r="OW1" s="1" t="s">
        <v>424</v>
      </c>
      <c r="OX1" s="1" t="s">
        <v>425</v>
      </c>
      <c r="OY1" s="1" t="s">
        <v>426</v>
      </c>
      <c r="OZ1" s="1" t="s">
        <v>427</v>
      </c>
      <c r="PA1" s="1" t="s">
        <v>428</v>
      </c>
      <c r="PB1" s="1" t="s">
        <v>429</v>
      </c>
      <c r="PC1" s="1" t="s">
        <v>430</v>
      </c>
      <c r="PD1" s="1" t="s">
        <v>431</v>
      </c>
      <c r="PE1" s="1" t="s">
        <v>432</v>
      </c>
      <c r="PF1" s="1" t="s">
        <v>433</v>
      </c>
      <c r="PG1" s="1" t="s">
        <v>434</v>
      </c>
      <c r="PH1" s="1" t="s">
        <v>435</v>
      </c>
      <c r="PI1" s="1" t="s">
        <v>436</v>
      </c>
      <c r="PJ1" s="1" t="s">
        <v>437</v>
      </c>
      <c r="PK1" s="1" t="s">
        <v>438</v>
      </c>
      <c r="PL1" s="1" t="s">
        <v>439</v>
      </c>
      <c r="PM1" s="1" t="s">
        <v>440</v>
      </c>
      <c r="PN1" s="1" t="s">
        <v>441</v>
      </c>
      <c r="PO1" s="1" t="s">
        <v>442</v>
      </c>
      <c r="PP1" s="1" t="s">
        <v>443</v>
      </c>
      <c r="PQ1" s="1" t="s">
        <v>444</v>
      </c>
      <c r="PR1" s="1" t="s">
        <v>445</v>
      </c>
      <c r="PS1" s="1" t="s">
        <v>446</v>
      </c>
      <c r="PT1" s="1" t="s">
        <v>447</v>
      </c>
      <c r="PU1" s="1" t="s">
        <v>448</v>
      </c>
      <c r="PV1" s="1" t="s">
        <v>449</v>
      </c>
      <c r="PW1" s="1" t="s">
        <v>450</v>
      </c>
      <c r="PX1" s="1" t="s">
        <v>451</v>
      </c>
      <c r="PY1" s="1" t="s">
        <v>452</v>
      </c>
      <c r="PZ1" s="1" t="s">
        <v>453</v>
      </c>
      <c r="QA1" s="1" t="s">
        <v>454</v>
      </c>
      <c r="QB1" s="1" t="s">
        <v>455</v>
      </c>
      <c r="QC1" s="1" t="s">
        <v>456</v>
      </c>
      <c r="QD1" s="1" t="s">
        <v>457</v>
      </c>
      <c r="QE1" s="1" t="s">
        <v>458</v>
      </c>
      <c r="QF1" s="1" t="s">
        <v>459</v>
      </c>
      <c r="QG1" s="1" t="s">
        <v>460</v>
      </c>
      <c r="QH1" s="1" t="s">
        <v>461</v>
      </c>
      <c r="QI1" s="1" t="s">
        <v>462</v>
      </c>
      <c r="QJ1" s="1" t="s">
        <v>463</v>
      </c>
      <c r="QK1" s="1" t="s">
        <v>464</v>
      </c>
      <c r="QL1" s="1" t="s">
        <v>465</v>
      </c>
      <c r="QM1" s="1" t="s">
        <v>466</v>
      </c>
      <c r="QN1" s="1" t="s">
        <v>467</v>
      </c>
      <c r="QO1" s="1" t="s">
        <v>468</v>
      </c>
      <c r="QP1" s="1" t="s">
        <v>469</v>
      </c>
      <c r="QQ1" s="1" t="s">
        <v>470</v>
      </c>
      <c r="QR1" s="1" t="s">
        <v>471</v>
      </c>
      <c r="QS1" s="1" t="s">
        <v>472</v>
      </c>
      <c r="QT1" s="1" t="s">
        <v>473</v>
      </c>
      <c r="QU1" s="1" t="s">
        <v>474</v>
      </c>
      <c r="QV1" s="1" t="s">
        <v>475</v>
      </c>
      <c r="QW1" s="1" t="s">
        <v>476</v>
      </c>
      <c r="QX1" s="1" t="s">
        <v>477</v>
      </c>
      <c r="QY1" s="1" t="s">
        <v>478</v>
      </c>
      <c r="QZ1" s="1" t="s">
        <v>479</v>
      </c>
      <c r="RA1" s="1" t="s">
        <v>480</v>
      </c>
      <c r="RB1" s="1" t="s">
        <v>481</v>
      </c>
      <c r="RC1" s="1" t="s">
        <v>482</v>
      </c>
      <c r="RD1" s="1" t="s">
        <v>483</v>
      </c>
      <c r="RE1" s="1" t="s">
        <v>484</v>
      </c>
      <c r="RF1" s="1" t="s">
        <v>485</v>
      </c>
      <c r="RG1" s="1" t="s">
        <v>486</v>
      </c>
      <c r="RH1" s="1" t="s">
        <v>487</v>
      </c>
      <c r="RI1" s="1" t="s">
        <v>488</v>
      </c>
      <c r="RJ1" s="1" t="s">
        <v>489</v>
      </c>
      <c r="RK1" s="1" t="s">
        <v>490</v>
      </c>
      <c r="RL1" s="1" t="s">
        <v>491</v>
      </c>
      <c r="RM1" s="1" t="s">
        <v>492</v>
      </c>
      <c r="RN1" s="1" t="s">
        <v>493</v>
      </c>
      <c r="RO1" s="1" t="s">
        <v>494</v>
      </c>
      <c r="RP1" s="1" t="s">
        <v>495</v>
      </c>
      <c r="RQ1" s="1" t="s">
        <v>496</v>
      </c>
      <c r="RR1" s="1" t="s">
        <v>497</v>
      </c>
      <c r="RS1" s="1" t="s">
        <v>498</v>
      </c>
      <c r="RT1" s="1" t="s">
        <v>499</v>
      </c>
      <c r="RU1" s="1" t="s">
        <v>500</v>
      </c>
      <c r="RV1" s="1" t="s">
        <v>501</v>
      </c>
      <c r="RW1" s="1" t="s">
        <v>502</v>
      </c>
      <c r="RX1" s="1" t="s">
        <v>503</v>
      </c>
      <c r="RY1" s="1" t="s">
        <v>504</v>
      </c>
      <c r="RZ1" s="1" t="s">
        <v>505</v>
      </c>
      <c r="SA1" s="1" t="s">
        <v>506</v>
      </c>
      <c r="SB1" s="1" t="s">
        <v>507</v>
      </c>
      <c r="SC1" s="1" t="s">
        <v>508</v>
      </c>
      <c r="SD1" s="1" t="s">
        <v>509</v>
      </c>
      <c r="SE1" s="1" t="s">
        <v>510</v>
      </c>
      <c r="SF1" s="1" t="s">
        <v>511</v>
      </c>
      <c r="SG1" s="1" t="s">
        <v>512</v>
      </c>
      <c r="SH1" s="1" t="s">
        <v>513</v>
      </c>
      <c r="SI1" s="1" t="s">
        <v>514</v>
      </c>
      <c r="SJ1" s="1" t="s">
        <v>515</v>
      </c>
      <c r="SK1" s="1" t="s">
        <v>516</v>
      </c>
      <c r="SL1" s="1" t="s">
        <v>517</v>
      </c>
      <c r="SM1" s="1" t="s">
        <v>518</v>
      </c>
      <c r="SN1" s="1" t="s">
        <v>519</v>
      </c>
      <c r="SO1" s="1" t="s">
        <v>520</v>
      </c>
      <c r="SP1" s="1" t="s">
        <v>521</v>
      </c>
      <c r="SQ1" s="1" t="s">
        <v>522</v>
      </c>
      <c r="SR1" s="1" t="s">
        <v>523</v>
      </c>
      <c r="SS1" s="1" t="s">
        <v>524</v>
      </c>
      <c r="ST1" s="1" t="s">
        <v>525</v>
      </c>
      <c r="SU1" s="1" t="s">
        <v>526</v>
      </c>
      <c r="SV1" s="1" t="s">
        <v>527</v>
      </c>
      <c r="SW1" s="1" t="s">
        <v>528</v>
      </c>
      <c r="SX1" s="1" t="s">
        <v>529</v>
      </c>
      <c r="SY1" s="1" t="s">
        <v>530</v>
      </c>
      <c r="SZ1" s="1" t="s">
        <v>531</v>
      </c>
      <c r="TA1" s="1" t="s">
        <v>532</v>
      </c>
      <c r="TB1" s="1" t="s">
        <v>533</v>
      </c>
      <c r="TC1" s="1" t="s">
        <v>534</v>
      </c>
      <c r="TD1" s="1" t="s">
        <v>535</v>
      </c>
      <c r="TE1" s="1" t="s">
        <v>536</v>
      </c>
      <c r="TF1" s="1" t="s">
        <v>537</v>
      </c>
      <c r="TG1" s="1" t="s">
        <v>538</v>
      </c>
      <c r="TH1" s="1" t="s">
        <v>539</v>
      </c>
      <c r="TI1" s="1" t="s">
        <v>540</v>
      </c>
      <c r="TJ1" s="1" t="s">
        <v>541</v>
      </c>
      <c r="TK1" s="1" t="s">
        <v>542</v>
      </c>
      <c r="TL1" s="1" t="s">
        <v>543</v>
      </c>
      <c r="TM1" s="1" t="s">
        <v>544</v>
      </c>
      <c r="TN1" s="1" t="s">
        <v>545</v>
      </c>
      <c r="TO1" s="1" t="s">
        <v>546</v>
      </c>
      <c r="TP1" s="1" t="s">
        <v>547</v>
      </c>
      <c r="TQ1" s="1" t="s">
        <v>548</v>
      </c>
      <c r="TR1" s="1" t="s">
        <v>549</v>
      </c>
      <c r="TS1" s="1" t="s">
        <v>550</v>
      </c>
      <c r="TT1" s="1" t="s">
        <v>551</v>
      </c>
      <c r="TU1" s="1" t="s">
        <v>552</v>
      </c>
      <c r="TV1" s="1" t="s">
        <v>553</v>
      </c>
      <c r="TW1" s="1" t="s">
        <v>554</v>
      </c>
      <c r="TX1" s="1" t="s">
        <v>555</v>
      </c>
      <c r="TY1" s="1" t="s">
        <v>556</v>
      </c>
      <c r="TZ1" s="1" t="s">
        <v>557</v>
      </c>
      <c r="UA1" s="1" t="s">
        <v>558</v>
      </c>
      <c r="UB1" s="1" t="s">
        <v>559</v>
      </c>
      <c r="UC1" s="1" t="s">
        <v>560</v>
      </c>
      <c r="UD1" s="1" t="s">
        <v>561</v>
      </c>
      <c r="UE1" s="1" t="s">
        <v>562</v>
      </c>
      <c r="UF1" s="1" t="s">
        <v>563</v>
      </c>
      <c r="UG1" s="1" t="s">
        <v>564</v>
      </c>
      <c r="UH1" s="1" t="s">
        <v>565</v>
      </c>
      <c r="UI1" s="1" t="s">
        <v>566</v>
      </c>
      <c r="UJ1" s="1" t="s">
        <v>567</v>
      </c>
      <c r="UK1" s="1" t="s">
        <v>568</v>
      </c>
      <c r="UL1" s="1" t="s">
        <v>569</v>
      </c>
      <c r="UM1" s="1" t="s">
        <v>570</v>
      </c>
      <c r="UN1" s="1" t="s">
        <v>571</v>
      </c>
      <c r="UO1" s="1" t="s">
        <v>572</v>
      </c>
      <c r="UP1" s="1" t="s">
        <v>573</v>
      </c>
      <c r="UQ1" s="1" t="s">
        <v>574</v>
      </c>
      <c r="UR1" s="1" t="s">
        <v>575</v>
      </c>
      <c r="US1" s="1" t="s">
        <v>576</v>
      </c>
      <c r="UT1" s="1" t="s">
        <v>577</v>
      </c>
      <c r="UU1" s="1" t="s">
        <v>578</v>
      </c>
      <c r="UV1" s="1" t="s">
        <v>579</v>
      </c>
      <c r="UW1" s="1" t="s">
        <v>580</v>
      </c>
      <c r="UX1" s="1" t="s">
        <v>581</v>
      </c>
      <c r="UY1" s="1" t="s">
        <v>582</v>
      </c>
      <c r="UZ1" s="1" t="s">
        <v>583</v>
      </c>
      <c r="VA1" s="1" t="s">
        <v>584</v>
      </c>
      <c r="VB1" s="1" t="s">
        <v>585</v>
      </c>
      <c r="VC1" s="1" t="s">
        <v>586</v>
      </c>
      <c r="VD1" s="1" t="s">
        <v>587</v>
      </c>
      <c r="VE1" s="1" t="s">
        <v>588</v>
      </c>
      <c r="VF1" s="1" t="s">
        <v>589</v>
      </c>
      <c r="VG1" s="1" t="s">
        <v>590</v>
      </c>
      <c r="VH1" s="1" t="s">
        <v>591</v>
      </c>
      <c r="VI1" s="1" t="s">
        <v>592</v>
      </c>
      <c r="VJ1" s="1" t="s">
        <v>593</v>
      </c>
      <c r="VK1" s="1" t="s">
        <v>594</v>
      </c>
      <c r="VL1" s="1" t="s">
        <v>595</v>
      </c>
      <c r="VM1" s="1" t="s">
        <v>596</v>
      </c>
      <c r="VN1" s="1" t="s">
        <v>597</v>
      </c>
      <c r="VO1" s="1" t="s">
        <v>598</v>
      </c>
      <c r="VP1" s="1" t="s">
        <v>599</v>
      </c>
      <c r="VQ1" s="1" t="s">
        <v>600</v>
      </c>
      <c r="VR1" s="1" t="s">
        <v>601</v>
      </c>
      <c r="VS1" s="1" t="s">
        <v>602</v>
      </c>
      <c r="VT1" s="1" t="s">
        <v>603</v>
      </c>
      <c r="VU1" s="1" t="s">
        <v>604</v>
      </c>
      <c r="VV1" s="1" t="s">
        <v>605</v>
      </c>
      <c r="VW1" s="1" t="s">
        <v>606</v>
      </c>
      <c r="VX1" s="1" t="s">
        <v>607</v>
      </c>
      <c r="VY1" s="1" t="s">
        <v>608</v>
      </c>
      <c r="VZ1" s="1" t="s">
        <v>609</v>
      </c>
      <c r="WA1" s="1" t="s">
        <v>610</v>
      </c>
      <c r="WB1" s="1" t="s">
        <v>611</v>
      </c>
      <c r="WC1" s="1" t="s">
        <v>612</v>
      </c>
      <c r="WD1" s="1" t="s">
        <v>613</v>
      </c>
      <c r="WE1" s="1" t="s">
        <v>614</v>
      </c>
      <c r="WF1" s="1" t="s">
        <v>615</v>
      </c>
      <c r="WG1" s="1" t="s">
        <v>616</v>
      </c>
      <c r="WH1" s="1" t="s">
        <v>617</v>
      </c>
      <c r="WI1" s="1" t="s">
        <v>618</v>
      </c>
      <c r="WJ1" s="1" t="s">
        <v>619</v>
      </c>
      <c r="WK1" s="1" t="s">
        <v>620</v>
      </c>
      <c r="WL1" s="1" t="s">
        <v>621</v>
      </c>
      <c r="WM1" s="1" t="s">
        <v>622</v>
      </c>
      <c r="WN1" s="1" t="s">
        <v>623</v>
      </c>
      <c r="WO1" s="1" t="s">
        <v>624</v>
      </c>
      <c r="WP1" s="1" t="s">
        <v>625</v>
      </c>
      <c r="WQ1" s="1" t="s">
        <v>626</v>
      </c>
      <c r="WR1" s="1" t="s">
        <v>627</v>
      </c>
      <c r="WS1" s="1" t="s">
        <v>628</v>
      </c>
      <c r="WT1" s="1" t="s">
        <v>629</v>
      </c>
      <c r="WU1" s="1" t="s">
        <v>630</v>
      </c>
      <c r="WV1" s="1" t="s">
        <v>631</v>
      </c>
      <c r="WW1" s="1" t="s">
        <v>632</v>
      </c>
      <c r="WX1" s="1" t="s">
        <v>633</v>
      </c>
      <c r="WY1" s="1" t="s">
        <v>634</v>
      </c>
      <c r="WZ1" s="1" t="s">
        <v>635</v>
      </c>
      <c r="XA1" s="1" t="s">
        <v>636</v>
      </c>
      <c r="XB1" s="1" t="s">
        <v>637</v>
      </c>
      <c r="XC1" s="1" t="s">
        <v>638</v>
      </c>
      <c r="XD1" s="1" t="s">
        <v>639</v>
      </c>
      <c r="XE1" s="1" t="s">
        <v>640</v>
      </c>
      <c r="XF1" s="1" t="s">
        <v>641</v>
      </c>
      <c r="XG1" s="1" t="s">
        <v>642</v>
      </c>
      <c r="XH1" s="1" t="s">
        <v>643</v>
      </c>
      <c r="XI1" s="1" t="s">
        <v>644</v>
      </c>
      <c r="XJ1" s="1" t="s">
        <v>645</v>
      </c>
      <c r="XK1" s="1" t="s">
        <v>646</v>
      </c>
      <c r="XL1" s="1" t="s">
        <v>647</v>
      </c>
      <c r="XM1" s="1" t="s">
        <v>648</v>
      </c>
      <c r="XN1" s="1" t="s">
        <v>649</v>
      </c>
      <c r="XO1" s="1" t="s">
        <v>650</v>
      </c>
      <c r="XP1" s="1" t="s">
        <v>651</v>
      </c>
      <c r="XQ1" s="1" t="s">
        <v>652</v>
      </c>
      <c r="XR1" s="1" t="s">
        <v>653</v>
      </c>
      <c r="XS1" s="1" t="s">
        <v>654</v>
      </c>
      <c r="XT1" s="1" t="s">
        <v>655</v>
      </c>
      <c r="XU1" s="1" t="s">
        <v>656</v>
      </c>
      <c r="XV1" s="1" t="s">
        <v>657</v>
      </c>
      <c r="XW1" s="1" t="s">
        <v>658</v>
      </c>
      <c r="XX1" s="1" t="s">
        <v>659</v>
      </c>
      <c r="XY1" s="1" t="s">
        <v>660</v>
      </c>
      <c r="XZ1" s="1" t="s">
        <v>661</v>
      </c>
      <c r="YA1" s="1" t="s">
        <v>662</v>
      </c>
      <c r="YB1" s="1" t="s">
        <v>663</v>
      </c>
      <c r="YC1" s="1" t="s">
        <v>664</v>
      </c>
      <c r="YD1" s="1" t="s">
        <v>665</v>
      </c>
      <c r="YE1" s="1" t="s">
        <v>666</v>
      </c>
      <c r="YF1" s="1" t="s">
        <v>667</v>
      </c>
      <c r="YG1" s="1" t="s">
        <v>668</v>
      </c>
      <c r="YH1" s="1" t="s">
        <v>669</v>
      </c>
      <c r="YI1" s="1" t="s">
        <v>670</v>
      </c>
      <c r="YJ1" s="1" t="s">
        <v>671</v>
      </c>
      <c r="YK1" s="1" t="s">
        <v>672</v>
      </c>
      <c r="YL1" s="1" t="s">
        <v>673</v>
      </c>
      <c r="YM1" s="1" t="s">
        <v>674</v>
      </c>
      <c r="YN1" s="1" t="s">
        <v>675</v>
      </c>
      <c r="YO1" s="1" t="s">
        <v>676</v>
      </c>
      <c r="YP1" s="1" t="s">
        <v>677</v>
      </c>
      <c r="YQ1" s="1" t="s">
        <v>678</v>
      </c>
      <c r="YR1" s="1" t="s">
        <v>679</v>
      </c>
      <c r="YS1" s="1" t="s">
        <v>680</v>
      </c>
      <c r="YT1" s="1" t="s">
        <v>681</v>
      </c>
      <c r="YU1" s="1" t="s">
        <v>682</v>
      </c>
      <c r="YV1" s="1" t="s">
        <v>683</v>
      </c>
      <c r="YW1" s="1" t="s">
        <v>684</v>
      </c>
      <c r="YX1" s="1" t="s">
        <v>685</v>
      </c>
      <c r="YY1" s="1" t="s">
        <v>686</v>
      </c>
      <c r="YZ1" s="1" t="s">
        <v>687</v>
      </c>
      <c r="ZA1" s="1" t="s">
        <v>688</v>
      </c>
      <c r="ZB1" s="1" t="s">
        <v>689</v>
      </c>
      <c r="ZC1" s="1" t="s">
        <v>690</v>
      </c>
      <c r="ZD1" s="1" t="s">
        <v>691</v>
      </c>
      <c r="ZE1" s="1" t="s">
        <v>692</v>
      </c>
      <c r="ZF1" s="1" t="s">
        <v>693</v>
      </c>
      <c r="ZG1" s="1" t="s">
        <v>694</v>
      </c>
      <c r="ZH1" s="1" t="s">
        <v>695</v>
      </c>
      <c r="ZI1" s="1" t="s">
        <v>696</v>
      </c>
      <c r="ZJ1" s="1" t="s">
        <v>697</v>
      </c>
      <c r="ZK1" s="1" t="s">
        <v>698</v>
      </c>
      <c r="ZL1" s="1" t="s">
        <v>699</v>
      </c>
      <c r="ZM1" s="1" t="s">
        <v>700</v>
      </c>
      <c r="ZN1" s="1" t="s">
        <v>701</v>
      </c>
      <c r="ZO1" s="1" t="s">
        <v>702</v>
      </c>
      <c r="ZP1" s="1" t="s">
        <v>703</v>
      </c>
      <c r="ZQ1" s="1" t="s">
        <v>704</v>
      </c>
      <c r="ZR1" s="1" t="s">
        <v>705</v>
      </c>
      <c r="ZS1" s="1" t="s">
        <v>706</v>
      </c>
      <c r="ZT1" s="1" t="s">
        <v>707</v>
      </c>
      <c r="ZU1" s="1" t="s">
        <v>708</v>
      </c>
      <c r="ZV1" s="1" t="s">
        <v>709</v>
      </c>
      <c r="ZW1" s="1" t="s">
        <v>710</v>
      </c>
      <c r="ZX1" s="1" t="s">
        <v>711</v>
      </c>
      <c r="ZY1" s="1" t="s">
        <v>712</v>
      </c>
      <c r="ZZ1" s="1" t="s">
        <v>713</v>
      </c>
      <c r="AAA1" s="1" t="s">
        <v>714</v>
      </c>
      <c r="AAB1" s="1" t="s">
        <v>715</v>
      </c>
      <c r="AAC1" s="1" t="s">
        <v>716</v>
      </c>
      <c r="AAD1" s="1" t="s">
        <v>717</v>
      </c>
      <c r="AAE1" s="1" t="s">
        <v>718</v>
      </c>
      <c r="AAF1" s="1" t="s">
        <v>719</v>
      </c>
      <c r="AAG1" s="1" t="s">
        <v>720</v>
      </c>
      <c r="AAH1" s="1" t="s">
        <v>721</v>
      </c>
      <c r="AAI1" s="1" t="s">
        <v>722</v>
      </c>
      <c r="AAJ1" s="1" t="s">
        <v>723</v>
      </c>
      <c r="AAK1" s="1" t="s">
        <v>724</v>
      </c>
      <c r="AAL1" s="1" t="s">
        <v>725</v>
      </c>
      <c r="AAM1" s="1" t="s">
        <v>726</v>
      </c>
      <c r="AAN1" s="1" t="s">
        <v>727</v>
      </c>
      <c r="AAO1" s="1" t="s">
        <v>728</v>
      </c>
      <c r="AAP1" s="1" t="s">
        <v>729</v>
      </c>
      <c r="AAQ1" s="1" t="s">
        <v>730</v>
      </c>
      <c r="AAR1" s="1" t="s">
        <v>731</v>
      </c>
      <c r="AAS1" s="1" t="s">
        <v>732</v>
      </c>
      <c r="AAT1" s="1" t="s">
        <v>733</v>
      </c>
      <c r="AAU1" s="1" t="s">
        <v>734</v>
      </c>
      <c r="AAV1" s="1" t="s">
        <v>735</v>
      </c>
      <c r="AAW1" s="1" t="s">
        <v>736</v>
      </c>
      <c r="AAX1" s="1" t="s">
        <v>737</v>
      </c>
      <c r="AAY1" s="1" t="s">
        <v>738</v>
      </c>
      <c r="AAZ1" s="1" t="s">
        <v>739</v>
      </c>
      <c r="ABA1" s="1" t="s">
        <v>740</v>
      </c>
      <c r="ABB1" s="1" t="s">
        <v>741</v>
      </c>
      <c r="ABC1" s="1" t="s">
        <v>742</v>
      </c>
      <c r="ABD1" s="1" t="s">
        <v>743</v>
      </c>
      <c r="ABE1" s="1" t="s">
        <v>744</v>
      </c>
      <c r="ABF1" s="1" t="s">
        <v>745</v>
      </c>
      <c r="ABG1" s="1" t="s">
        <v>746</v>
      </c>
      <c r="ABH1" s="1" t="s">
        <v>747</v>
      </c>
      <c r="ABI1" s="1" t="s">
        <v>748</v>
      </c>
      <c r="ABJ1" s="1" t="s">
        <v>749</v>
      </c>
      <c r="ABK1" s="1" t="s">
        <v>750</v>
      </c>
      <c r="ABL1" s="1" t="s">
        <v>751</v>
      </c>
      <c r="ABM1" s="1" t="s">
        <v>752</v>
      </c>
      <c r="ABN1" s="1" t="s">
        <v>753</v>
      </c>
      <c r="ABO1" s="1" t="s">
        <v>754</v>
      </c>
      <c r="ABP1" s="1" t="s">
        <v>755</v>
      </c>
      <c r="ABQ1" s="1" t="s">
        <v>756</v>
      </c>
      <c r="ABR1" s="1" t="s">
        <v>757</v>
      </c>
      <c r="ABS1" s="1" t="s">
        <v>758</v>
      </c>
      <c r="ABT1" s="1" t="s">
        <v>759</v>
      </c>
      <c r="ABU1" s="1" t="s">
        <v>760</v>
      </c>
      <c r="ABV1" s="1" t="s">
        <v>761</v>
      </c>
      <c r="ABW1" s="1" t="s">
        <v>762</v>
      </c>
      <c r="ABX1" s="1" t="s">
        <v>763</v>
      </c>
      <c r="ABY1" s="1" t="s">
        <v>764</v>
      </c>
      <c r="ABZ1" s="1" t="s">
        <v>765</v>
      </c>
      <c r="ACA1" s="1" t="s">
        <v>766</v>
      </c>
      <c r="ACB1" s="1" t="s">
        <v>767</v>
      </c>
      <c r="ACC1" s="1" t="s">
        <v>768</v>
      </c>
      <c r="ACD1" s="1" t="s">
        <v>769</v>
      </c>
      <c r="ACE1" s="1" t="s">
        <v>770</v>
      </c>
      <c r="ACF1" s="1" t="s">
        <v>771</v>
      </c>
      <c r="ACG1" s="1" t="s">
        <v>772</v>
      </c>
      <c r="ACH1" s="1" t="s">
        <v>773</v>
      </c>
      <c r="ACI1" s="1" t="s">
        <v>774</v>
      </c>
      <c r="ACJ1" s="1" t="s">
        <v>775</v>
      </c>
      <c r="ACK1" s="1" t="s">
        <v>776</v>
      </c>
      <c r="ACL1" s="1" t="s">
        <v>777</v>
      </c>
      <c r="ACM1" s="1" t="s">
        <v>778</v>
      </c>
      <c r="ACN1" s="1" t="s">
        <v>779</v>
      </c>
      <c r="ACO1" s="1" t="s">
        <v>780</v>
      </c>
      <c r="ACP1" s="1" t="s">
        <v>781</v>
      </c>
      <c r="ACQ1" s="1" t="s">
        <v>782</v>
      </c>
      <c r="ACR1" s="1" t="s">
        <v>783</v>
      </c>
      <c r="ACS1" s="1" t="s">
        <v>784</v>
      </c>
      <c r="ACT1" s="1" t="s">
        <v>785</v>
      </c>
      <c r="ACU1" s="1" t="s">
        <v>786</v>
      </c>
      <c r="ACV1" s="1" t="s">
        <v>787</v>
      </c>
      <c r="ACW1" s="1" t="s">
        <v>788</v>
      </c>
      <c r="ACX1" s="1" t="s">
        <v>789</v>
      </c>
      <c r="ACY1" s="1" t="s">
        <v>790</v>
      </c>
      <c r="ACZ1" s="1" t="s">
        <v>791</v>
      </c>
      <c r="ADA1" s="1" t="s">
        <v>792</v>
      </c>
      <c r="ADB1" s="1" t="s">
        <v>793</v>
      </c>
      <c r="ADC1" s="1" t="s">
        <v>794</v>
      </c>
      <c r="ADD1" s="1" t="s">
        <v>795</v>
      </c>
      <c r="ADE1" s="1" t="s">
        <v>796</v>
      </c>
      <c r="ADF1" s="1" t="s">
        <v>797</v>
      </c>
      <c r="ADG1" s="1" t="s">
        <v>798</v>
      </c>
      <c r="ADH1" s="1" t="s">
        <v>799</v>
      </c>
      <c r="ADI1" s="1" t="s">
        <v>800</v>
      </c>
      <c r="ADJ1" s="1" t="s">
        <v>801</v>
      </c>
      <c r="ADK1" s="1" t="s">
        <v>802</v>
      </c>
      <c r="ADL1" s="1" t="s">
        <v>803</v>
      </c>
      <c r="ADM1" s="1" t="s">
        <v>804</v>
      </c>
      <c r="ADN1" s="1" t="s">
        <v>805</v>
      </c>
      <c r="ADO1" s="1" t="s">
        <v>806</v>
      </c>
      <c r="ADP1" s="1" t="s">
        <v>807</v>
      </c>
      <c r="ADQ1" s="1" t="s">
        <v>808</v>
      </c>
      <c r="ADR1" s="1" t="s">
        <v>809</v>
      </c>
      <c r="ADS1" s="1" t="s">
        <v>810</v>
      </c>
      <c r="ADT1" s="1" t="s">
        <v>811</v>
      </c>
      <c r="ADU1" s="1" t="s">
        <v>812</v>
      </c>
      <c r="ADV1" s="1" t="s">
        <v>813</v>
      </c>
      <c r="ADW1" s="1" t="s">
        <v>814</v>
      </c>
      <c r="ADX1" s="1" t="s">
        <v>815</v>
      </c>
      <c r="ADY1" s="1" t="s">
        <v>816</v>
      </c>
      <c r="ADZ1" s="1" t="s">
        <v>817</v>
      </c>
      <c r="AEA1" s="1" t="s">
        <v>818</v>
      </c>
      <c r="AEB1" s="1" t="s">
        <v>819</v>
      </c>
      <c r="AEC1" s="1" t="s">
        <v>820</v>
      </c>
      <c r="AED1" s="1" t="s">
        <v>821</v>
      </c>
      <c r="AEE1" s="1" t="s">
        <v>822</v>
      </c>
      <c r="AEF1" s="1" t="s">
        <v>823</v>
      </c>
      <c r="AEG1" s="1" t="s">
        <v>824</v>
      </c>
      <c r="AEH1" s="1" t="s">
        <v>825</v>
      </c>
      <c r="AEI1" s="1" t="s">
        <v>826</v>
      </c>
      <c r="AEJ1" s="1" t="s">
        <v>827</v>
      </c>
      <c r="AEK1" s="1" t="s">
        <v>828</v>
      </c>
      <c r="AEL1" s="1" t="s">
        <v>829</v>
      </c>
      <c r="AEM1" s="1" t="s">
        <v>830</v>
      </c>
      <c r="AEN1" s="1" t="s">
        <v>831</v>
      </c>
      <c r="AEO1" s="1" t="s">
        <v>832</v>
      </c>
      <c r="AEP1" s="1" t="s">
        <v>833</v>
      </c>
      <c r="AEQ1" s="1" t="s">
        <v>834</v>
      </c>
      <c r="AER1" s="1" t="s">
        <v>835</v>
      </c>
      <c r="AES1" s="1" t="s">
        <v>836</v>
      </c>
      <c r="AET1" s="1" t="s">
        <v>837</v>
      </c>
      <c r="AEU1" s="1" t="s">
        <v>838</v>
      </c>
      <c r="AEV1" s="1" t="s">
        <v>839</v>
      </c>
      <c r="AEW1" s="1" t="s">
        <v>840</v>
      </c>
      <c r="AEX1" s="1" t="s">
        <v>841</v>
      </c>
      <c r="AEY1" s="1" t="s">
        <v>842</v>
      </c>
      <c r="AEZ1" s="1" t="s">
        <v>843</v>
      </c>
      <c r="AFA1" s="1" t="s">
        <v>844</v>
      </c>
      <c r="AFB1" s="1" t="s">
        <v>845</v>
      </c>
      <c r="AFC1" s="1" t="s">
        <v>846</v>
      </c>
      <c r="AFD1" s="1" t="s">
        <v>847</v>
      </c>
      <c r="AFE1" s="1" t="s">
        <v>848</v>
      </c>
      <c r="AFF1" s="1" t="s">
        <v>849</v>
      </c>
      <c r="AFG1" s="1" t="s">
        <v>850</v>
      </c>
      <c r="AFH1" s="1" t="s">
        <v>851</v>
      </c>
      <c r="AFI1" s="1" t="s">
        <v>852</v>
      </c>
      <c r="AFJ1" s="1" t="s">
        <v>853</v>
      </c>
      <c r="AFK1" s="1" t="s">
        <v>854</v>
      </c>
      <c r="AFL1" s="1" t="s">
        <v>855</v>
      </c>
      <c r="AFM1" s="1" t="s">
        <v>856</v>
      </c>
      <c r="AFN1" s="1" t="s">
        <v>857</v>
      </c>
      <c r="AFO1" s="1" t="s">
        <v>858</v>
      </c>
      <c r="AFP1" s="1" t="s">
        <v>859</v>
      </c>
      <c r="AFQ1" s="1" t="s">
        <v>860</v>
      </c>
      <c r="AFR1" s="1" t="s">
        <v>861</v>
      </c>
      <c r="AFS1" s="1" t="s">
        <v>862</v>
      </c>
      <c r="AFT1" s="1" t="s">
        <v>863</v>
      </c>
      <c r="AFU1" s="1" t="s">
        <v>864</v>
      </c>
      <c r="AFV1" s="1" t="s">
        <v>865</v>
      </c>
      <c r="AFW1" s="1" t="s">
        <v>866</v>
      </c>
      <c r="AFX1" s="1" t="s">
        <v>867</v>
      </c>
      <c r="AFY1" s="1" t="s">
        <v>868</v>
      </c>
      <c r="AFZ1" s="1" t="s">
        <v>869</v>
      </c>
      <c r="AGA1" s="1" t="s">
        <v>870</v>
      </c>
      <c r="AGB1" s="1" t="s">
        <v>871</v>
      </c>
      <c r="AGC1" s="1" t="s">
        <v>872</v>
      </c>
      <c r="AGD1" s="1" t="s">
        <v>873</v>
      </c>
      <c r="AGE1" s="1" t="s">
        <v>874</v>
      </c>
      <c r="AGF1" s="1" t="s">
        <v>875</v>
      </c>
      <c r="AGG1" s="1" t="s">
        <v>876</v>
      </c>
      <c r="AGH1" s="1" t="s">
        <v>877</v>
      </c>
      <c r="AGI1" s="1" t="s">
        <v>878</v>
      </c>
      <c r="AGJ1" s="1" t="s">
        <v>879</v>
      </c>
      <c r="AGK1" s="1" t="s">
        <v>880</v>
      </c>
      <c r="AGL1" s="1" t="s">
        <v>881</v>
      </c>
      <c r="AGM1" s="1" t="s">
        <v>882</v>
      </c>
      <c r="AGN1" s="1" t="s">
        <v>883</v>
      </c>
      <c r="AGO1" s="1" t="s">
        <v>884</v>
      </c>
      <c r="AGP1" s="1" t="s">
        <v>885</v>
      </c>
      <c r="AGQ1" s="1" t="s">
        <v>886</v>
      </c>
      <c r="AGR1" s="1" t="s">
        <v>887</v>
      </c>
      <c r="AGS1" s="1" t="s">
        <v>888</v>
      </c>
      <c r="AGT1" s="1" t="s">
        <v>889</v>
      </c>
      <c r="AGU1" s="1" t="s">
        <v>890</v>
      </c>
      <c r="AGV1" s="1" t="s">
        <v>891</v>
      </c>
      <c r="AGW1" s="1" t="s">
        <v>892</v>
      </c>
      <c r="AGX1" s="1" t="s">
        <v>893</v>
      </c>
      <c r="AGY1" s="1" t="s">
        <v>894</v>
      </c>
      <c r="AGZ1" s="1" t="s">
        <v>895</v>
      </c>
      <c r="AHA1" s="1" t="s">
        <v>896</v>
      </c>
      <c r="AHB1" s="1" t="s">
        <v>897</v>
      </c>
      <c r="AHC1" s="1" t="s">
        <v>898</v>
      </c>
      <c r="AHD1" s="1" t="s">
        <v>899</v>
      </c>
      <c r="AHE1" s="1" t="s">
        <v>900</v>
      </c>
      <c r="AHF1" s="1" t="s">
        <v>901</v>
      </c>
      <c r="AHG1" s="1" t="s">
        <v>902</v>
      </c>
      <c r="AHH1" s="1" t="s">
        <v>903</v>
      </c>
      <c r="AHI1" s="1" t="s">
        <v>904</v>
      </c>
      <c r="AHJ1" s="1" t="s">
        <v>905</v>
      </c>
      <c r="AHK1" s="1" t="s">
        <v>906</v>
      </c>
      <c r="AHL1" s="1" t="s">
        <v>907</v>
      </c>
      <c r="AHM1" s="1" t="s">
        <v>908</v>
      </c>
      <c r="AHN1" s="1" t="s">
        <v>909</v>
      </c>
      <c r="AHO1" s="1" t="s">
        <v>910</v>
      </c>
      <c r="AHP1" s="1" t="s">
        <v>911</v>
      </c>
      <c r="AHQ1" s="1" t="s">
        <v>912</v>
      </c>
      <c r="AHR1" s="1" t="s">
        <v>913</v>
      </c>
      <c r="AHS1" s="1" t="s">
        <v>914</v>
      </c>
      <c r="AHT1" s="1" t="s">
        <v>915</v>
      </c>
      <c r="AHU1" s="1" t="s">
        <v>916</v>
      </c>
      <c r="AHV1" s="1" t="s">
        <v>917</v>
      </c>
      <c r="AHW1" s="1" t="s">
        <v>918</v>
      </c>
      <c r="AHX1" s="1" t="s">
        <v>919</v>
      </c>
      <c r="AHY1" s="1" t="s">
        <v>920</v>
      </c>
      <c r="AHZ1" s="1" t="s">
        <v>921</v>
      </c>
      <c r="AIA1" s="1" t="s">
        <v>922</v>
      </c>
      <c r="AIB1" s="1" t="s">
        <v>923</v>
      </c>
      <c r="AIC1" s="1" t="s">
        <v>924</v>
      </c>
      <c r="AID1" s="1" t="s">
        <v>925</v>
      </c>
      <c r="AIE1" s="1" t="s">
        <v>926</v>
      </c>
      <c r="AIF1" s="1" t="s">
        <v>927</v>
      </c>
      <c r="AIG1" s="1" t="s">
        <v>928</v>
      </c>
      <c r="AIH1" s="1" t="s">
        <v>929</v>
      </c>
      <c r="AII1" s="1" t="s">
        <v>930</v>
      </c>
      <c r="AIJ1" s="1" t="s">
        <v>931</v>
      </c>
      <c r="AIK1" s="1" t="s">
        <v>932</v>
      </c>
      <c r="AIL1" s="1" t="s">
        <v>933</v>
      </c>
      <c r="AIM1" s="1" t="s">
        <v>934</v>
      </c>
      <c r="AIN1" s="1" t="s">
        <v>935</v>
      </c>
      <c r="AIO1" s="1" t="s">
        <v>936</v>
      </c>
      <c r="AIP1" s="1" t="s">
        <v>937</v>
      </c>
      <c r="AIQ1" s="1" t="s">
        <v>938</v>
      </c>
      <c r="AIR1" s="1" t="s">
        <v>939</v>
      </c>
      <c r="AIS1" s="1" t="s">
        <v>940</v>
      </c>
      <c r="AIT1" s="1" t="s">
        <v>941</v>
      </c>
      <c r="AIU1" s="1" t="s">
        <v>942</v>
      </c>
      <c r="AIV1" s="1" t="s">
        <v>943</v>
      </c>
      <c r="AIW1" s="1" t="s">
        <v>944</v>
      </c>
      <c r="AIX1" s="1" t="s">
        <v>945</v>
      </c>
      <c r="AIY1" s="1" t="s">
        <v>946</v>
      </c>
      <c r="AIZ1" s="1" t="s">
        <v>947</v>
      </c>
      <c r="AJA1" s="1" t="s">
        <v>948</v>
      </c>
      <c r="AJB1" s="1" t="s">
        <v>949</v>
      </c>
      <c r="AJC1" s="1" t="s">
        <v>950</v>
      </c>
      <c r="AJD1" s="1" t="s">
        <v>951</v>
      </c>
      <c r="AJE1" s="1" t="s">
        <v>952</v>
      </c>
      <c r="AJF1" s="1" t="s">
        <v>953</v>
      </c>
      <c r="AJG1" s="1" t="s">
        <v>954</v>
      </c>
      <c r="AJH1" s="1" t="s">
        <v>955</v>
      </c>
      <c r="AJI1" s="1" t="s">
        <v>956</v>
      </c>
      <c r="AJJ1" s="1" t="s">
        <v>957</v>
      </c>
      <c r="AJK1" s="1" t="s">
        <v>958</v>
      </c>
      <c r="AJL1" s="1" t="s">
        <v>959</v>
      </c>
      <c r="AJM1" s="1" t="s">
        <v>960</v>
      </c>
      <c r="AJN1" s="1" t="s">
        <v>961</v>
      </c>
      <c r="AJO1" s="1" t="s">
        <v>962</v>
      </c>
      <c r="AJP1" s="1" t="s">
        <v>963</v>
      </c>
      <c r="AJQ1" s="1" t="s">
        <v>964</v>
      </c>
      <c r="AJR1" s="1" t="s">
        <v>965</v>
      </c>
      <c r="AJS1" s="1" t="s">
        <v>966</v>
      </c>
      <c r="AJT1" s="1" t="s">
        <v>967</v>
      </c>
      <c r="AJU1" s="1" t="s">
        <v>968</v>
      </c>
      <c r="AJV1" s="1" t="s">
        <v>969</v>
      </c>
      <c r="AJW1" s="1" t="s">
        <v>970</v>
      </c>
      <c r="AJX1" s="1" t="s">
        <v>971</v>
      </c>
      <c r="AJY1" s="1" t="s">
        <v>972</v>
      </c>
      <c r="AJZ1" s="1" t="s">
        <v>973</v>
      </c>
      <c r="AKA1" s="1" t="s">
        <v>974</v>
      </c>
      <c r="AKB1" s="1" t="s">
        <v>975</v>
      </c>
      <c r="AKC1" s="1" t="s">
        <v>976</v>
      </c>
      <c r="AKD1" s="1" t="s">
        <v>977</v>
      </c>
      <c r="AKE1" s="1" t="s">
        <v>978</v>
      </c>
      <c r="AKF1" s="1" t="s">
        <v>979</v>
      </c>
      <c r="AKG1" s="1" t="s">
        <v>980</v>
      </c>
      <c r="AKH1" s="1" t="s">
        <v>981</v>
      </c>
      <c r="AKI1" s="1" t="s">
        <v>982</v>
      </c>
      <c r="AKJ1" s="1" t="s">
        <v>983</v>
      </c>
      <c r="AKK1" s="1" t="s">
        <v>984</v>
      </c>
      <c r="AKL1" s="1" t="s">
        <v>985</v>
      </c>
      <c r="AKM1" s="1" t="s">
        <v>986</v>
      </c>
      <c r="AKN1" s="1" t="s">
        <v>987</v>
      </c>
      <c r="AKO1" s="1" t="s">
        <v>988</v>
      </c>
      <c r="AKP1" s="1" t="s">
        <v>989</v>
      </c>
      <c r="AKQ1" s="1" t="s">
        <v>990</v>
      </c>
      <c r="AKR1" s="1" t="s">
        <v>991</v>
      </c>
      <c r="AKS1" s="1" t="s">
        <v>992</v>
      </c>
      <c r="AKT1" s="1" t="s">
        <v>993</v>
      </c>
      <c r="AKU1" s="1" t="s">
        <v>994</v>
      </c>
      <c r="AKV1" s="1" t="s">
        <v>995</v>
      </c>
      <c r="AKW1" s="1" t="s">
        <v>996</v>
      </c>
      <c r="AKX1" s="1" t="s">
        <v>997</v>
      </c>
      <c r="AKY1" s="1" t="s">
        <v>998</v>
      </c>
      <c r="AKZ1" s="1" t="s">
        <v>999</v>
      </c>
      <c r="ALA1" s="1" t="s">
        <v>1000</v>
      </c>
      <c r="ALB1" s="1" t="s">
        <v>1001</v>
      </c>
      <c r="ALC1" s="1" t="s">
        <v>1002</v>
      </c>
      <c r="ALD1" s="1" t="s">
        <v>1003</v>
      </c>
      <c r="ALE1" s="1" t="s">
        <v>1004</v>
      </c>
      <c r="ALF1" s="1" t="s">
        <v>1005</v>
      </c>
      <c r="ALG1" s="1" t="s">
        <v>1006</v>
      </c>
      <c r="ALH1" s="1" t="s">
        <v>1007</v>
      </c>
      <c r="ALI1" s="1" t="s">
        <v>1008</v>
      </c>
      <c r="ALJ1" s="1" t="s">
        <v>1009</v>
      </c>
      <c r="ALK1" s="1" t="s">
        <v>1010</v>
      </c>
      <c r="ALL1" s="1" t="s">
        <v>1011</v>
      </c>
      <c r="ALM1" s="1" t="s">
        <v>1012</v>
      </c>
      <c r="ALN1" s="1" t="s">
        <v>1013</v>
      </c>
      <c r="ALO1" s="1" t="s">
        <v>1014</v>
      </c>
      <c r="ALP1" s="1" t="s">
        <v>1015</v>
      </c>
      <c r="ALQ1" s="1" t="s">
        <v>1016</v>
      </c>
      <c r="ALR1" s="1" t="s">
        <v>1017</v>
      </c>
      <c r="ALS1" s="1" t="s">
        <v>1018</v>
      </c>
      <c r="ALT1" s="1" t="s">
        <v>1019</v>
      </c>
      <c r="ALU1" s="1" t="s">
        <v>1020</v>
      </c>
      <c r="ALV1" s="1" t="s">
        <v>1021</v>
      </c>
      <c r="ALW1" s="1" t="s">
        <v>1022</v>
      </c>
      <c r="ALX1" s="1" t="s">
        <v>1023</v>
      </c>
      <c r="ALY1" s="1" t="s">
        <v>1024</v>
      </c>
      <c r="ALZ1" s="1" t="s">
        <v>1025</v>
      </c>
      <c r="AMA1" s="1" t="s">
        <v>1026</v>
      </c>
      <c r="AMB1" s="1" t="s">
        <v>1027</v>
      </c>
      <c r="AMC1" s="1" t="s">
        <v>1028</v>
      </c>
      <c r="AMD1" s="1" t="s">
        <v>1029</v>
      </c>
      <c r="AME1" s="1" t="s">
        <v>1030</v>
      </c>
      <c r="AMF1" s="1" t="s">
        <v>1031</v>
      </c>
      <c r="AMG1" s="1" t="s">
        <v>1032</v>
      </c>
      <c r="AMH1" s="1" t="s">
        <v>1033</v>
      </c>
      <c r="AMI1" s="1" t="s">
        <v>1034</v>
      </c>
      <c r="AMJ1" s="1" t="s">
        <v>1035</v>
      </c>
      <c r="AMK1" s="1" t="s">
        <v>1036</v>
      </c>
    </row>
    <row r="2" spans="1:1025" s="26" customFormat="1" ht="16.5" x14ac:dyDescent="0.15">
      <c r="A2" s="31" t="s">
        <v>1067</v>
      </c>
      <c r="B2" s="62" t="str">
        <f>IF(A2="","",_xlfn.XLOOKUP(A2,株式ポートフォリオ!$A:$A,株式ポートフォリオ!$E:$E,"該当なし",0,-1))</f>
        <v>02.02 09:01:53</v>
      </c>
      <c r="C2" s="63" t="str">
        <f>IF(A2="","",_xlfn.XLOOKUP(A2,株式ポートフォリオ!$A:$A,株式ポートフォリオ!$D:$D,"該当なし",0,-1))</f>
        <v>アストロスケールホールディンク</v>
      </c>
      <c r="D2" s="90" t="s">
        <v>1068</v>
      </c>
      <c r="E2" s="91" t="s">
        <v>1069</v>
      </c>
      <c r="F2" s="26">
        <v>3</v>
      </c>
      <c r="G2" s="26" t="s">
        <v>1070</v>
      </c>
      <c r="Z2" s="26">
        <v>5</v>
      </c>
    </row>
    <row r="3" spans="1:1025" s="26" customFormat="1" ht="29.25" thickBot="1" x14ac:dyDescent="0.2">
      <c r="A3" s="31"/>
      <c r="B3" s="65" t="str">
        <f>IF(A3="","",_xlfn.XLOOKUP(A3,株式ポートフォリオ!$A:$A,株式ポートフォリオ!$E:$E,"該当なし",0,-1))</f>
        <v/>
      </c>
      <c r="C3" s="68" t="s">
        <v>1071</v>
      </c>
      <c r="D3" s="66" t="s">
        <v>1072</v>
      </c>
      <c r="E3" s="67" t="s">
        <v>1073</v>
      </c>
      <c r="F3" s="26">
        <v>3</v>
      </c>
      <c r="G3" s="26" t="s">
        <v>1070</v>
      </c>
    </row>
    <row r="4" spans="1:1025" s="26" customFormat="1" ht="16.5" x14ac:dyDescent="0.15">
      <c r="A4" s="31" t="s">
        <v>1084</v>
      </c>
      <c r="B4" s="77" t="str">
        <f>IF(A4="","",_xlfn.XLOOKUP(A4,株式ポートフォリオ!$A:$A,株式ポートフォリオ!$E:$E,"該当なし",0,-1))</f>
        <v>02.03 09:09:23</v>
      </c>
      <c r="C4" s="78" t="str">
        <f>IF(A4="","",_xlfn.XLOOKUP(A4,株式ポートフォリオ!$A:$A,株式ポートフォリオ!$D:$D,"該当なし",0,-1))</f>
        <v>フジクラ</v>
      </c>
      <c r="D4" s="79" t="s">
        <v>1086</v>
      </c>
      <c r="E4" s="80" t="s">
        <v>1087</v>
      </c>
      <c r="F4" s="26">
        <v>2</v>
      </c>
      <c r="G4" s="26" t="s">
        <v>1088</v>
      </c>
    </row>
    <row r="5" spans="1:1025" s="26" customFormat="1" ht="16.5" x14ac:dyDescent="0.15">
      <c r="A5" s="31" t="s">
        <v>1085</v>
      </c>
      <c r="B5" s="65" t="str">
        <f>IF(A5="","",_xlfn.XLOOKUP(A5,株式ポートフォリオ!$A:$A,株式ポートフォリオ!$E:$E,"該当なし",0,-1))</f>
        <v>02.03 09:11:16</v>
      </c>
      <c r="C5" s="71" t="str">
        <f>IF(A5="","",_xlfn.XLOOKUP(A5,株式ポートフォリオ!$A:$A,株式ポートフォリオ!$D:$D,"該当なし",0,-1))</f>
        <v>キオクシアホールディングス</v>
      </c>
      <c r="D5" s="66" t="s">
        <v>1089</v>
      </c>
      <c r="E5" s="70" t="s">
        <v>1090</v>
      </c>
      <c r="F5" s="26">
        <v>3</v>
      </c>
      <c r="G5" s="26" t="s">
        <v>1088</v>
      </c>
    </row>
    <row r="6" spans="1:1025" s="26" customFormat="1" ht="15" thickBot="1" x14ac:dyDescent="0.2">
      <c r="A6" s="31"/>
      <c r="B6" s="65" t="str">
        <f>IF(A6="","",_xlfn.XLOOKUP(A6,株式ポートフォリオ!$A:$A,株式ポートフォリオ!$E:$E,"該当なし",0,-1))</f>
        <v/>
      </c>
      <c r="C6" s="69" t="s">
        <v>1091</v>
      </c>
      <c r="D6" s="66" t="s">
        <v>1092</v>
      </c>
      <c r="E6" s="70" t="s">
        <v>1093</v>
      </c>
      <c r="F6" s="26">
        <v>4</v>
      </c>
      <c r="G6" s="26" t="s">
        <v>1070</v>
      </c>
    </row>
    <row r="7" spans="1:1025" s="26" customFormat="1" ht="16.5" x14ac:dyDescent="0.15">
      <c r="A7" s="31" t="s">
        <v>1098</v>
      </c>
      <c r="B7" s="77" t="str">
        <f>IF(A7="","",_xlfn.XLOOKUP(A7,株式ポートフォリオ!$A:$A,株式ポートフォリオ!$E:$E,"該当なし",0,-1))</f>
        <v>02.04 09:05:17</v>
      </c>
      <c r="C7" s="78" t="str">
        <f>IF(A7="","",_xlfn.XLOOKUP(A7,株式ポートフォリオ!$A:$A,株式ポートフォリオ!$D:$D,"該当なし",0,-1))</f>
        <v>フジクラ</v>
      </c>
      <c r="D7" s="79" t="s">
        <v>1100</v>
      </c>
      <c r="E7" s="80" t="s">
        <v>1101</v>
      </c>
      <c r="F7" s="26">
        <v>4</v>
      </c>
      <c r="G7" s="26" t="s">
        <v>1088</v>
      </c>
    </row>
    <row r="8" spans="1:1025" s="26" customFormat="1" ht="16.5" x14ac:dyDescent="0.15">
      <c r="A8" s="31" t="s">
        <v>1099</v>
      </c>
      <c r="B8" s="65" t="str">
        <f>IF(A8="","",_xlfn.XLOOKUP(A8,株式ポートフォリオ!$A:$A,株式ポートフォリオ!$E:$E,"該当なし",0,-1))</f>
        <v>02.04 09:15:28</v>
      </c>
      <c r="C8" s="71" t="str">
        <f>IF(A8="","",_xlfn.XLOOKUP(A8,株式ポートフォリオ!$A:$A,株式ポートフォリオ!$D:$D,"該当なし",0,-1))</f>
        <v>キオクシアホールディングス</v>
      </c>
      <c r="D8" s="66" t="s">
        <v>1102</v>
      </c>
      <c r="E8" s="70" t="s">
        <v>1103</v>
      </c>
      <c r="F8" s="26">
        <v>2</v>
      </c>
      <c r="G8" s="26" t="s">
        <v>1088</v>
      </c>
    </row>
    <row r="9" spans="1:1025" s="26" customFormat="1" ht="15" thickBot="1" x14ac:dyDescent="0.2">
      <c r="A9" s="31"/>
      <c r="B9" s="65" t="str">
        <f>IF(A9="","",_xlfn.XLOOKUP(A9,株式ポートフォリオ!$A:$A,株式ポートフォリオ!$E:$E,"該当なし",0,-1))</f>
        <v/>
      </c>
      <c r="C9" s="69" t="s">
        <v>1091</v>
      </c>
      <c r="D9" s="66" t="s">
        <v>1104</v>
      </c>
      <c r="E9" s="70" t="s">
        <v>1105</v>
      </c>
      <c r="F9" s="26">
        <v>3</v>
      </c>
      <c r="G9" s="26" t="s">
        <v>1088</v>
      </c>
    </row>
    <row r="10" spans="1:1025" s="26" customFormat="1" ht="16.5" x14ac:dyDescent="0.15">
      <c r="A10" s="31" t="s">
        <v>1108</v>
      </c>
      <c r="B10" s="77" t="str">
        <f>IF(A10="","",_xlfn.XLOOKUP(A10,株式ポートフォリオ!$A:$A,株式ポートフォリオ!$E:$E,"該当なし",0,-1))</f>
        <v>02.05 09:01:31</v>
      </c>
      <c r="C10" s="78" t="str">
        <f>IF(A10="","",_xlfn.XLOOKUP(A10,株式ポートフォリオ!$A:$A,株式ポートフォリオ!$D:$D,"該当なし",0,-1))</f>
        <v>フジクラ</v>
      </c>
      <c r="D10" s="79" t="s">
        <v>1113</v>
      </c>
      <c r="E10" s="80" t="s">
        <v>1114</v>
      </c>
      <c r="F10" s="26">
        <v>5</v>
      </c>
      <c r="G10" s="26" t="s">
        <v>1070</v>
      </c>
    </row>
    <row r="11" spans="1:1025" s="26" customFormat="1" ht="16.5" x14ac:dyDescent="0.15">
      <c r="A11" s="31" t="s">
        <v>1115</v>
      </c>
      <c r="B11" s="65" t="str">
        <f>IF(A11="","",_xlfn.XLOOKUP(A11,株式ポートフォリオ!$A:$A,株式ポートフォリオ!$E:$E,"該当なし",0,-1))</f>
        <v>02.05 09:09:05</v>
      </c>
      <c r="C11" s="71" t="str">
        <f>IF(A11="","",_xlfn.XLOOKUP(A11,株式ポートフォリオ!$A:$A,株式ポートフォリオ!$D:$D,"該当なし",0,-1))</f>
        <v>フジクラ</v>
      </c>
      <c r="D11" s="66"/>
      <c r="E11" s="72"/>
    </row>
    <row r="12" spans="1:1025" s="26" customFormat="1" ht="15" thickBot="1" x14ac:dyDescent="0.2">
      <c r="A12" s="31"/>
      <c r="B12" s="65" t="str">
        <f>IF(A12="","",_xlfn.XLOOKUP(A12,株式ポートフォリオ!$A:$A,株式ポートフォリオ!$E:$E,"該当なし",0,-1))</f>
        <v/>
      </c>
      <c r="C12" s="69" t="s">
        <v>1187</v>
      </c>
      <c r="D12" s="66" t="s">
        <v>1111</v>
      </c>
      <c r="E12" s="70" t="s">
        <v>1112</v>
      </c>
      <c r="F12" s="26">
        <v>5</v>
      </c>
      <c r="G12" s="26" t="s">
        <v>1070</v>
      </c>
    </row>
    <row r="13" spans="1:1025" s="26" customFormat="1" ht="16.5" x14ac:dyDescent="0.15">
      <c r="A13" s="31" t="s">
        <v>1118</v>
      </c>
      <c r="B13" s="77" t="str">
        <f>IF(A13="","",_xlfn.XLOOKUP(A13,株式ポートフォリオ!$A:$A,株式ポートフォリオ!$E:$E,"該当なし",0,-1))</f>
        <v>02.06 09:02:42</v>
      </c>
      <c r="C13" s="78" t="str">
        <f>IF(A13="","",_xlfn.XLOOKUP(A13,株式ポートフォリオ!$A:$A,株式ポートフォリオ!$D:$D,"該当なし",0,-1))</f>
        <v>フジクラ</v>
      </c>
      <c r="D13" s="79" t="s">
        <v>1119</v>
      </c>
      <c r="E13" s="81"/>
      <c r="F13" s="26">
        <v>5</v>
      </c>
      <c r="G13" s="26" t="s">
        <v>1167</v>
      </c>
    </row>
    <row r="14" spans="1:1025" s="26" customFormat="1" ht="16.5" x14ac:dyDescent="0.15">
      <c r="A14" s="31" t="s">
        <v>1163</v>
      </c>
      <c r="B14" s="65" t="str">
        <f>IF(A14="","",_xlfn.XLOOKUP(A14,株式ポートフォリオ!$A:$A,株式ポートフォリオ!$E:$E,"該当なし",0,-1))</f>
        <v>02.06 10:24:22</v>
      </c>
      <c r="C14" s="71" t="str">
        <f>IF(A14="","",_xlfn.XLOOKUP(A14,株式ポートフォリオ!$A:$A,株式ポートフォリオ!$D:$D,"該当なし",0,-1))</f>
        <v>フジクラ</v>
      </c>
      <c r="D14" s="66"/>
      <c r="E14" s="72"/>
      <c r="F14" s="26">
        <v>5</v>
      </c>
      <c r="G14" s="26" t="s">
        <v>1167</v>
      </c>
    </row>
    <row r="15" spans="1:1025" s="26" customFormat="1" ht="28.5" x14ac:dyDescent="0.15">
      <c r="A15" s="31" t="s">
        <v>1164</v>
      </c>
      <c r="B15" s="65" t="str">
        <f>IF(A15="","",_xlfn.XLOOKUP(A15,株式ポートフォリオ!$A:$A,株式ポートフォリオ!$E:$E,"該当なし",0,-1))</f>
        <v>02.06 10:35:02</v>
      </c>
      <c r="C15" s="71" t="str">
        <f>IF(A15="","",_xlfn.XLOOKUP(A15,株式ポートフォリオ!$A:$A,株式ポートフォリオ!$D:$D,"該当なし",0,-1))</f>
        <v>フジクラ</v>
      </c>
      <c r="D15" s="74" t="s">
        <v>1166</v>
      </c>
      <c r="E15" s="84" t="s">
        <v>1165</v>
      </c>
      <c r="F15" s="26">
        <v>5</v>
      </c>
      <c r="G15" s="26" t="s">
        <v>1167</v>
      </c>
    </row>
    <row r="16" spans="1:1025" s="26" customFormat="1" ht="143.25" thickBot="1" x14ac:dyDescent="0.2">
      <c r="A16" s="31"/>
      <c r="B16" s="65" t="str">
        <f>IF(A16="","",_xlfn.XLOOKUP(A16,株式ポートフォリオ!$A:$A,株式ポートフォリオ!$E:$E,"該当なし",0,-1))</f>
        <v/>
      </c>
      <c r="C16" s="73" t="s">
        <v>1091</v>
      </c>
      <c r="D16" s="74" t="s">
        <v>1172</v>
      </c>
      <c r="E16" s="75" t="s">
        <v>1173</v>
      </c>
      <c r="F16" s="26">
        <v>5</v>
      </c>
      <c r="G16" s="26" t="s">
        <v>1167</v>
      </c>
    </row>
    <row r="17" spans="1:7" s="26" customFormat="1" ht="63.75" customHeight="1" x14ac:dyDescent="0.15">
      <c r="A17" s="31" t="s">
        <v>1182</v>
      </c>
      <c r="B17" s="77" t="str">
        <f>IF(A17="","",_xlfn.XLOOKUP(A17,株式ポートフォリオ!$A:$A,株式ポートフォリオ!$E:$E,"該当なし",0,-1))</f>
        <v>02.09 09:11:57</v>
      </c>
      <c r="C17" s="78" t="str">
        <f>IF(A17="","",_xlfn.XLOOKUP(A17,株式ポートフォリオ!$A:$A,株式ポートフォリオ!$D:$D,"該当なし",0,-1))</f>
        <v>フジクラ</v>
      </c>
      <c r="D17" s="82" t="s">
        <v>1184</v>
      </c>
      <c r="E17" s="83" t="s">
        <v>1189</v>
      </c>
      <c r="F17" s="26">
        <v>3</v>
      </c>
      <c r="G17" s="26" t="s">
        <v>1167</v>
      </c>
    </row>
    <row r="18" spans="1:7" s="26" customFormat="1" ht="42.75" x14ac:dyDescent="0.15">
      <c r="A18" s="31" t="s">
        <v>1183</v>
      </c>
      <c r="B18" s="65" t="str">
        <f>IF(A18="","",_xlfn.XLOOKUP(A18,株式ポートフォリオ!$A:$A,株式ポートフォリオ!$E:$E,"該当なし",0,-1))</f>
        <v>02.09 10:57:11</v>
      </c>
      <c r="C18" s="71" t="str">
        <f>IF(A18="","",_xlfn.XLOOKUP(A18,株式ポートフォリオ!$A:$A,株式ポートフォリオ!$D:$D,"該当なし",0,-1))</f>
        <v>フジクラ</v>
      </c>
      <c r="D18" s="74" t="s">
        <v>1185</v>
      </c>
      <c r="E18" s="75" t="s">
        <v>1186</v>
      </c>
      <c r="F18" s="26">
        <v>5</v>
      </c>
      <c r="G18" s="26" t="s">
        <v>1167</v>
      </c>
    </row>
    <row r="19" spans="1:7" s="26" customFormat="1" ht="29.25" thickBot="1" x14ac:dyDescent="0.2">
      <c r="A19" s="31"/>
      <c r="B19" s="65" t="str">
        <f>IF(A19="","",_xlfn.XLOOKUP(A19,株式ポートフォリオ!$A:$A,株式ポートフォリオ!$E:$E,"該当なし",0,-1))</f>
        <v/>
      </c>
      <c r="C19" s="69" t="s">
        <v>1187</v>
      </c>
      <c r="D19" s="66" t="s">
        <v>1188</v>
      </c>
      <c r="E19" s="75" t="s">
        <v>1190</v>
      </c>
      <c r="F19" s="26">
        <v>4</v>
      </c>
      <c r="G19" s="26" t="s">
        <v>1167</v>
      </c>
    </row>
    <row r="20" spans="1:7" s="26" customFormat="1" ht="42.75" x14ac:dyDescent="0.15">
      <c r="A20" s="31" t="s">
        <v>1201</v>
      </c>
      <c r="B20" s="77" t="str">
        <f>IF(A20="","",_xlfn.XLOOKUP(A20,株式ポートフォリオ!$A:$A,株式ポートフォリオ!$E:$E,"該当なし",0,-1))</f>
        <v>02.10 09:08:50</v>
      </c>
      <c r="C20" s="78" t="str">
        <f>IF(A20="","",_xlfn.XLOOKUP(A20,株式ポートフォリオ!$A:$A,株式ポートフォリオ!$D:$D,"該当なし",0,-1))</f>
        <v>フジクラ</v>
      </c>
      <c r="D20" s="82" t="s">
        <v>1205</v>
      </c>
      <c r="E20" s="83" t="s">
        <v>1206</v>
      </c>
      <c r="F20" s="26">
        <v>4</v>
      </c>
      <c r="G20" s="26" t="s">
        <v>1167</v>
      </c>
    </row>
    <row r="21" spans="1:7" s="26" customFormat="1" ht="57" x14ac:dyDescent="0.15">
      <c r="A21" s="85" t="s">
        <v>1202</v>
      </c>
      <c r="B21" s="65" t="str">
        <f>IF(A21="","",_xlfn.XLOOKUP(A21,株式ポートフォリオ!$A:$A,株式ポートフォリオ!$E:$E,"該当なし",0,-1))</f>
        <v>02.10 10:29:25</v>
      </c>
      <c r="C21" s="71" t="str">
        <f>IF(A21="","",_xlfn.XLOOKUP(A21,株式ポートフォリオ!$A:$A,株式ポートフォリオ!$D:$D,"該当なし",0,-1))</f>
        <v>フジクラ</v>
      </c>
      <c r="D21" s="74" t="s">
        <v>1207</v>
      </c>
      <c r="E21" s="70"/>
      <c r="F21" s="26">
        <v>2</v>
      </c>
      <c r="G21" s="26" t="s">
        <v>1191</v>
      </c>
    </row>
    <row r="22" spans="1:7" s="26" customFormat="1" ht="42.75" x14ac:dyDescent="0.15">
      <c r="A22" s="31" t="s">
        <v>1203</v>
      </c>
      <c r="B22" s="65" t="str">
        <f>IF(A22="","",_xlfn.XLOOKUP(A22,株式ポートフォリオ!$A:$A,株式ポートフォリオ!$E:$E,"該当なし",0,-1))</f>
        <v>02.10 10:34:05</v>
      </c>
      <c r="C22" s="71" t="str">
        <f>IF(A22="","",_xlfn.XLOOKUP(A22,株式ポートフォリオ!$A:$A,株式ポートフォリオ!$D:$D,"該当なし",0,-1))</f>
        <v>フジクラ</v>
      </c>
      <c r="D22" s="74" t="s">
        <v>1208</v>
      </c>
      <c r="E22" s="70"/>
      <c r="F22" s="26">
        <v>5</v>
      </c>
      <c r="G22" s="26" t="s">
        <v>1167</v>
      </c>
    </row>
    <row r="23" spans="1:7" s="26" customFormat="1" ht="42.75" x14ac:dyDescent="0.15">
      <c r="A23" s="31" t="s">
        <v>1204</v>
      </c>
      <c r="B23" s="65" t="str">
        <f>IF(A23="","",_xlfn.XLOOKUP(A23,株式ポートフォリオ!$A:$A,株式ポートフォリオ!$E:$E,"該当なし",0,-1))</f>
        <v>02.10 10:51:08</v>
      </c>
      <c r="C23" s="71" t="str">
        <f>IF(A23="","",_xlfn.XLOOKUP(A23,株式ポートフォリオ!$A:$A,株式ポートフォリオ!$D:$D,"該当なし",0,-1))</f>
        <v>フジクラ</v>
      </c>
      <c r="D23" s="74" t="s">
        <v>1209</v>
      </c>
      <c r="E23" s="70"/>
      <c r="F23" s="26">
        <v>5</v>
      </c>
      <c r="G23" s="26" t="s">
        <v>1167</v>
      </c>
    </row>
    <row r="24" spans="1:7" s="26" customFormat="1" ht="15" thickBot="1" x14ac:dyDescent="0.2">
      <c r="A24" s="31"/>
      <c r="B24" s="65" t="str">
        <f>IF(A24="","",_xlfn.XLOOKUP(A24,株式ポートフォリオ!$A:$A,株式ポートフォリオ!$E:$E,"該当なし",0,-1))</f>
        <v/>
      </c>
      <c r="C24" s="69" t="s">
        <v>1187</v>
      </c>
      <c r="D24" s="66" t="s">
        <v>1210</v>
      </c>
      <c r="E24" s="70" t="s">
        <v>1211</v>
      </c>
      <c r="F24" s="26">
        <v>3</v>
      </c>
      <c r="G24" s="26" t="s">
        <v>1070</v>
      </c>
    </row>
    <row r="25" spans="1:7" s="26" customFormat="1" ht="57" x14ac:dyDescent="0.15">
      <c r="A25" s="31" t="s">
        <v>1218</v>
      </c>
      <c r="B25" s="77" t="str">
        <f>IF(A25="","",_xlfn.XLOOKUP(A25,株式ポートフォリオ!$A:$A,株式ポートフォリオ!$E:$E,"該当なし",0,-1))</f>
        <v>02.12 09:03:36</v>
      </c>
      <c r="C25" s="78" t="str">
        <f>IF(A25="","",_xlfn.XLOOKUP(A25,株式ポートフォリオ!$A:$A,株式ポートフォリオ!$D:$D,"該当なし",0,-1))</f>
        <v>古河電工</v>
      </c>
      <c r="D25" s="82" t="s">
        <v>1220</v>
      </c>
      <c r="E25" s="83" t="s">
        <v>1219</v>
      </c>
      <c r="F25" s="26">
        <v>2</v>
      </c>
      <c r="G25" s="26" t="s">
        <v>1191</v>
      </c>
    </row>
    <row r="26" spans="1:7" s="26" customFormat="1" ht="57" x14ac:dyDescent="0.15">
      <c r="A26" s="31" t="s">
        <v>1221</v>
      </c>
      <c r="B26" s="65" t="str">
        <f>IF(A26="","",_xlfn.XLOOKUP(A26,株式ポートフォリオ!$A:$A,株式ポートフォリオ!$E:$E,"該当なし",0,-1))</f>
        <v>02.12 09:11:59</v>
      </c>
      <c r="C26" s="71" t="str">
        <f>IF(A26="","",_xlfn.XLOOKUP(A26,株式ポートフォリオ!$A:$A,株式ポートフォリオ!$D:$D,"該当なし",0,-1))</f>
        <v>住友鉱山</v>
      </c>
      <c r="D26" s="74" t="s">
        <v>1222</v>
      </c>
      <c r="E26" s="75" t="s">
        <v>1223</v>
      </c>
      <c r="F26" s="26">
        <v>2</v>
      </c>
      <c r="G26" s="26" t="s">
        <v>1191</v>
      </c>
    </row>
    <row r="27" spans="1:7" s="26" customFormat="1" ht="15" thickBot="1" x14ac:dyDescent="0.2">
      <c r="A27" s="31"/>
      <c r="B27" s="65" t="str">
        <f>IF(A27="","",_xlfn.XLOOKUP(A27,株式ポートフォリオ!$A:$A,株式ポートフォリオ!$E:$E,"該当なし",0,-1))</f>
        <v/>
      </c>
      <c r="C27" s="69" t="s">
        <v>1187</v>
      </c>
      <c r="D27" s="66" t="s">
        <v>1224</v>
      </c>
      <c r="E27" s="70" t="s">
        <v>1225</v>
      </c>
      <c r="F27" s="26">
        <v>2</v>
      </c>
      <c r="G27" s="26" t="s">
        <v>1191</v>
      </c>
    </row>
    <row r="28" spans="1:7" s="26" customFormat="1" ht="42.75" x14ac:dyDescent="0.15">
      <c r="A28" t="s">
        <v>1235</v>
      </c>
      <c r="B28" s="77" t="str">
        <f>IF(A28="","",_xlfn.XLOOKUP(A28,株式ポートフォリオ!$A:$A,株式ポートフォリオ!$E:$E,"該当なし",0,-1))</f>
        <v>02.13 09:30:41</v>
      </c>
      <c r="C28" s="78" t="str">
        <f>IF(A28="","",_xlfn.XLOOKUP(A28,株式ポートフォリオ!$A:$A,株式ポートフォリオ!$D:$D,"該当なし",0,-1))</f>
        <v>キオクシアホールディングス</v>
      </c>
      <c r="D28" s="82" t="s">
        <v>1236</v>
      </c>
      <c r="E28" s="80" t="s">
        <v>1237</v>
      </c>
      <c r="F28" s="26">
        <v>3</v>
      </c>
      <c r="G28" s="26" t="s">
        <v>1070</v>
      </c>
    </row>
    <row r="29" spans="1:7" s="26" customFormat="1" ht="42.75" x14ac:dyDescent="0.15">
      <c r="A29" s="85" t="s">
        <v>1238</v>
      </c>
      <c r="B29" s="65" t="str">
        <f>IF(A29="","",_xlfn.XLOOKUP(A29,株式ポートフォリオ!$A:$A,株式ポートフォリオ!$E:$E,"該当なし",0,-1))</f>
        <v>02.13 09:41:38</v>
      </c>
      <c r="C29" s="71" t="str">
        <f>IF(A29="","",_xlfn.XLOOKUP(A29,株式ポートフォリオ!$A:$A,株式ポートフォリオ!$D:$D,"該当なし",0,-1))</f>
        <v>フジクラ</v>
      </c>
      <c r="D29" s="74" t="s">
        <v>1241</v>
      </c>
      <c r="E29" s="75" t="s">
        <v>1239</v>
      </c>
      <c r="F29" s="26">
        <v>1</v>
      </c>
      <c r="G29" s="26" t="s">
        <v>1191</v>
      </c>
    </row>
    <row r="30" spans="1:7" s="26" customFormat="1" ht="42.75" x14ac:dyDescent="0.15">
      <c r="A30" s="31" t="s">
        <v>1240</v>
      </c>
      <c r="B30" s="65" t="str">
        <f>IF(A30="","",_xlfn.XLOOKUP(A30,株式ポートフォリオ!$A:$A,株式ポートフォリオ!$E:$E,"該当なし",0,-1))</f>
        <v>02.13 10:02:33</v>
      </c>
      <c r="C30" s="71" t="str">
        <f>IF(A30="","",_xlfn.XLOOKUP(A30,株式ポートフォリオ!$A:$A,株式ポートフォリオ!$D:$D,"該当なし",0,-1))</f>
        <v>キオクシアホールディングス</v>
      </c>
      <c r="D30" s="74" t="s">
        <v>1242</v>
      </c>
      <c r="E30" s="70" t="s">
        <v>1243</v>
      </c>
      <c r="F30" s="26">
        <v>1</v>
      </c>
      <c r="G30" s="26" t="s">
        <v>1088</v>
      </c>
    </row>
    <row r="31" spans="1:7" s="26" customFormat="1" ht="42.75" x14ac:dyDescent="0.15">
      <c r="A31" s="31" t="s">
        <v>1244</v>
      </c>
      <c r="B31" s="65" t="str">
        <f>IF(A31="","",_xlfn.XLOOKUP(A31,株式ポートフォリオ!$A:$A,株式ポートフォリオ!$E:$E,"該当なし",0,-1))</f>
        <v>02.13 10:14:27</v>
      </c>
      <c r="C31" s="71" t="str">
        <f>IF(A31="","",_xlfn.XLOOKUP(A31,株式ポートフォリオ!$A:$A,株式ポートフォリオ!$D:$D,"該当なし",0,-1))</f>
        <v>古河電工</v>
      </c>
      <c r="D31" s="74" t="s">
        <v>1245</v>
      </c>
      <c r="E31" s="75" t="s">
        <v>1246</v>
      </c>
      <c r="F31" s="26">
        <v>1</v>
      </c>
      <c r="G31" s="26" t="s">
        <v>1191</v>
      </c>
    </row>
    <row r="32" spans="1:7" s="26" customFormat="1" ht="15" thickBot="1" x14ac:dyDescent="0.2">
      <c r="A32" s="31"/>
      <c r="B32" s="65" t="str">
        <f>IF(A32="","",_xlfn.XLOOKUP(A32,株式ポートフォリオ!$A:$A,株式ポートフォリオ!$E:$E,"該当なし",0,-1))</f>
        <v/>
      </c>
      <c r="C32" s="73" t="s">
        <v>1187</v>
      </c>
      <c r="D32" s="66" t="s">
        <v>1247</v>
      </c>
      <c r="E32" s="70" t="s">
        <v>1248</v>
      </c>
      <c r="F32" s="26">
        <v>1</v>
      </c>
      <c r="G32" s="26" t="s">
        <v>1191</v>
      </c>
    </row>
    <row r="33" spans="1:7" s="26" customFormat="1" ht="42.75" x14ac:dyDescent="0.15">
      <c r="A33" s="31" t="s">
        <v>1255</v>
      </c>
      <c r="B33" s="77" t="str">
        <f>IF(A33="","",_xlfn.XLOOKUP(A33,株式ポートフォリオ!$A:$A,株式ポートフォリオ!$E:$E,"該当なし",0,-1))</f>
        <v>02.16 09:10:40</v>
      </c>
      <c r="C33" s="78" t="str">
        <f>IF(A33="","",_xlfn.XLOOKUP(A33,株式ポートフォリオ!$A:$A,株式ポートフォリオ!$D:$D,"該当なし",0,-1))</f>
        <v>キオクシアホールディングス</v>
      </c>
      <c r="D33" s="82" t="s">
        <v>1256</v>
      </c>
      <c r="E33" s="83" t="s">
        <v>1257</v>
      </c>
      <c r="F33" s="26">
        <v>1</v>
      </c>
      <c r="G33" s="26" t="s">
        <v>1167</v>
      </c>
    </row>
    <row r="34" spans="1:7" s="26" customFormat="1" ht="15" thickBot="1" x14ac:dyDescent="0.2">
      <c r="A34" s="31"/>
      <c r="B34" s="65" t="str">
        <f>IF(A34="","",_xlfn.XLOOKUP(A34,株式ポートフォリオ!$A:$A,株式ポートフォリオ!$E:$E,"該当なし",0,-1))</f>
        <v/>
      </c>
      <c r="C34" s="73" t="s">
        <v>1091</v>
      </c>
      <c r="D34" s="66" t="s">
        <v>1258</v>
      </c>
      <c r="E34" s="70" t="s">
        <v>1259</v>
      </c>
    </row>
    <row r="35" spans="1:7" s="26" customFormat="1" ht="42.75" x14ac:dyDescent="0.15">
      <c r="A35" s="31" t="s">
        <v>1271</v>
      </c>
      <c r="B35" s="77" t="str">
        <f>IF(A35="","",_xlfn.XLOOKUP(A35,株式ポートフォリオ!$A:$A,株式ポートフォリオ!$E:$E,"該当なし",0,-1))</f>
        <v>02.17 09:12:03</v>
      </c>
      <c r="C35" s="78" t="str">
        <f>IF(A35="","",_xlfn.XLOOKUP(A35,株式ポートフォリオ!$A:$A,株式ポートフォリオ!$D:$D,"該当なし",0,-1))</f>
        <v>住友ファーマ</v>
      </c>
      <c r="D35" s="82" t="s">
        <v>1275</v>
      </c>
      <c r="E35" s="83" t="s">
        <v>1276</v>
      </c>
      <c r="F35" s="26">
        <v>1</v>
      </c>
      <c r="G35" s="26" t="s">
        <v>1191</v>
      </c>
    </row>
    <row r="36" spans="1:7" s="26" customFormat="1" ht="42.75" x14ac:dyDescent="0.15">
      <c r="A36" s="31" t="s">
        <v>1270</v>
      </c>
      <c r="B36" s="65" t="str">
        <f>IF(A36="","",_xlfn.XLOOKUP(A36,株式ポートフォリオ!$A:$A,株式ポートフォリオ!$E:$E,"該当なし",0,-1))</f>
        <v>02.17 09:51:33</v>
      </c>
      <c r="C36" s="71" t="str">
        <f>IF(A36="","",_xlfn.XLOOKUP(A36,株式ポートフォリオ!$A:$A,株式ポートフォリオ!$D:$D,"該当なし",0,-1))</f>
        <v>フジクラ</v>
      </c>
      <c r="D36" s="74" t="s">
        <v>1277</v>
      </c>
      <c r="E36" s="75" t="s">
        <v>1278</v>
      </c>
      <c r="F36" s="26">
        <v>1</v>
      </c>
      <c r="G36" s="26" t="s">
        <v>1191</v>
      </c>
    </row>
    <row r="37" spans="1:7" s="26" customFormat="1" ht="42.75" x14ac:dyDescent="0.15">
      <c r="A37" s="31" t="s">
        <v>1269</v>
      </c>
      <c r="B37" s="65" t="str">
        <f>IF(A37="","",_xlfn.XLOOKUP(A37,株式ポートフォリオ!$A:$A,株式ポートフォリオ!$E:$E,"該当なし",0,-1))</f>
        <v>02.17 10:43:17</v>
      </c>
      <c r="C37" s="71" t="str">
        <f>IF(A37="","",_xlfn.XLOOKUP(A37,株式ポートフォリオ!$A:$A,株式ポートフォリオ!$D:$D,"該当なし",0,-1))</f>
        <v>キオクシアホールディングス</v>
      </c>
      <c r="D37" s="74" t="s">
        <v>1272</v>
      </c>
      <c r="E37" s="70" t="s">
        <v>1274</v>
      </c>
      <c r="F37" s="26">
        <v>3</v>
      </c>
      <c r="G37" s="26" t="s">
        <v>1273</v>
      </c>
    </row>
    <row r="38" spans="1:7" s="26" customFormat="1" ht="29.25" thickBot="1" x14ac:dyDescent="0.2">
      <c r="A38" s="31"/>
      <c r="B38" s="65" t="str">
        <f>IF(A38="","",_xlfn.XLOOKUP(A38,株式ポートフォリオ!$A:$A,株式ポートフォリオ!$E:$E,"該当なし",0,-1))</f>
        <v/>
      </c>
      <c r="C38" s="73" t="s">
        <v>1187</v>
      </c>
      <c r="D38" s="74" t="s">
        <v>1279</v>
      </c>
      <c r="E38" s="70" t="s">
        <v>1280</v>
      </c>
      <c r="F38" s="26">
        <v>1</v>
      </c>
      <c r="G38" s="26" t="s">
        <v>1191</v>
      </c>
    </row>
    <row r="39" spans="1:7" s="26" customFormat="1" ht="42.75" x14ac:dyDescent="0.15">
      <c r="A39" s="31" t="s">
        <v>1286</v>
      </c>
      <c r="B39" s="77" t="str">
        <f>IF(A39="","",_xlfn.XLOOKUP(A39,株式ポートフォリオ!$A:$A,株式ポートフォリオ!$E:$E,"該当なし",0,-1))</f>
        <v>02.18 09:00:43</v>
      </c>
      <c r="C39" s="78" t="str">
        <f>IF(A39="","",_xlfn.XLOOKUP(A39,株式ポートフォリオ!$A:$A,株式ポートフォリオ!$D:$D,"該当なし",0,-1))</f>
        <v>日東紡績</v>
      </c>
      <c r="D39" s="82" t="s">
        <v>1288</v>
      </c>
      <c r="E39" s="80" t="s">
        <v>1294</v>
      </c>
      <c r="F39" s="26">
        <v>5</v>
      </c>
      <c r="G39" s="26" t="s">
        <v>1273</v>
      </c>
    </row>
    <row r="40" spans="1:7" s="26" customFormat="1" ht="42.75" x14ac:dyDescent="0.15">
      <c r="A40" s="31" t="s">
        <v>1287</v>
      </c>
      <c r="B40" s="65" t="str">
        <f>IF(A40="","",_xlfn.XLOOKUP(A40,株式ポートフォリオ!$A:$A,株式ポートフォリオ!$E:$E,"該当なし",0,-1))</f>
        <v>02.18 09:19:26</v>
      </c>
      <c r="C40" s="71" t="str">
        <f>IF(A40="","",_xlfn.XLOOKUP(A40,株式ポートフォリオ!$A:$A,株式ポートフォリオ!$D:$D,"該当なし",0,-1))</f>
        <v>日東紡績</v>
      </c>
      <c r="D40" s="74" t="s">
        <v>1289</v>
      </c>
      <c r="E40" s="70" t="s">
        <v>1290</v>
      </c>
      <c r="F40" s="26">
        <v>3</v>
      </c>
      <c r="G40" s="26" t="s">
        <v>1167</v>
      </c>
    </row>
    <row r="41" spans="1:7" s="26" customFormat="1" ht="15" thickBot="1" x14ac:dyDescent="0.2">
      <c r="A41" s="31"/>
      <c r="B41" s="65" t="str">
        <f>IF(A41="","",_xlfn.XLOOKUP(A41,株式ポートフォリオ!$A:$A,株式ポートフォリオ!$E:$E,"該当なし",0,-1))</f>
        <v/>
      </c>
      <c r="C41" s="73" t="s">
        <v>1187</v>
      </c>
      <c r="D41" s="66" t="s">
        <v>1291</v>
      </c>
      <c r="E41" s="70" t="s">
        <v>1292</v>
      </c>
      <c r="F41" s="26">
        <v>4</v>
      </c>
      <c r="G41" s="26" t="s">
        <v>1167</v>
      </c>
    </row>
    <row r="42" spans="1:7" s="26" customFormat="1" ht="57" x14ac:dyDescent="0.15">
      <c r="A42" s="31" t="s">
        <v>1302</v>
      </c>
      <c r="B42" s="77" t="str">
        <f>IF(A42="","",_xlfn.XLOOKUP(A42,株式ポートフォリオ!$A:$A,株式ポートフォリオ!$E:$E,"該当なし",0,-1))</f>
        <v>02.19 09:15:35</v>
      </c>
      <c r="C42" s="78" t="str">
        <f>IF(A42="","",_xlfn.XLOOKUP(A42,株式ポートフォリオ!$A:$A,株式ポートフォリオ!$D:$D,"該当なし",0,-1))</f>
        <v>三井Ｅ＆Ｓ</v>
      </c>
      <c r="D42" s="82" t="s">
        <v>1303</v>
      </c>
      <c r="E42" s="83" t="s">
        <v>1304</v>
      </c>
      <c r="F42" s="26">
        <v>4</v>
      </c>
      <c r="G42" s="26" t="s">
        <v>1167</v>
      </c>
    </row>
    <row r="43" spans="1:7" s="26" customFormat="1" ht="29.25" thickBot="1" x14ac:dyDescent="0.2">
      <c r="A43" s="31"/>
      <c r="B43" s="76" t="str">
        <f>IF(A43="","",_xlfn.XLOOKUP(A43,株式ポートフォリオ!$A:$A,株式ポートフォリオ!$E:$E,"該当なし",0,-1))</f>
        <v/>
      </c>
      <c r="C43" s="92" t="s">
        <v>1091</v>
      </c>
      <c r="D43" s="89" t="s">
        <v>1305</v>
      </c>
      <c r="E43" s="93" t="s">
        <v>1306</v>
      </c>
      <c r="F43" s="26">
        <v>4</v>
      </c>
      <c r="G43" s="26" t="s">
        <v>1167</v>
      </c>
    </row>
    <row r="44" spans="1:7" s="26" customFormat="1" ht="14.25" x14ac:dyDescent="0.15">
      <c r="A44" s="31"/>
      <c r="B44" s="36" t="str">
        <f>IF(A44="","",_xlfn.XLOOKUP(A44,株式ポートフォリオ!$A:$A,株式ポートフォリオ!$E:$E,"該当なし",0,-1))</f>
        <v/>
      </c>
      <c r="C44" s="37" t="str">
        <f>IF(A44="","",_xlfn.XLOOKUP(A44,株式ポートフォリオ!$A:$A,株式ポートフォリオ!$D:$D,"該当なし",0,-1))</f>
        <v/>
      </c>
      <c r="D44" s="38"/>
      <c r="E44" s="64"/>
    </row>
    <row r="45" spans="1:7" s="26" customFormat="1" ht="14.25" x14ac:dyDescent="0.15">
      <c r="A45" s="31"/>
      <c r="B45" s="36" t="str">
        <f>IF(A45="","",_xlfn.XLOOKUP(A45,株式ポートフォリオ!$A:$A,株式ポートフォリオ!$E:$E,"該当なし",0,-1))</f>
        <v/>
      </c>
      <c r="C45" s="37" t="str">
        <f>IF(A45="","",_xlfn.XLOOKUP(A45,株式ポートフォリオ!$A:$A,株式ポートフォリオ!$D:$D,"該当なし",0,-1))</f>
        <v/>
      </c>
      <c r="D45" s="38"/>
      <c r="E45" s="43"/>
    </row>
    <row r="46" spans="1:7" s="26" customFormat="1" ht="14.25" x14ac:dyDescent="0.15">
      <c r="A46" s="31"/>
      <c r="B46" s="36" t="str">
        <f>IF(A46="","",_xlfn.XLOOKUP(A46,株式ポートフォリオ!$A:$A,株式ポートフォリオ!$E:$E,"該当なし",0,-1))</f>
        <v/>
      </c>
      <c r="C46" s="37" t="str">
        <f>IF(A46="","",_xlfn.XLOOKUP(A46,株式ポートフォリオ!$A:$A,株式ポートフォリオ!$D:$D,"該当なし",0,-1))</f>
        <v/>
      </c>
      <c r="D46" s="38"/>
      <c r="E46" s="43"/>
    </row>
    <row r="47" spans="1:7" s="26" customFormat="1" ht="14.25" x14ac:dyDescent="0.15">
      <c r="A47" s="31"/>
      <c r="B47" s="36" t="str">
        <f>IF(A47="","",_xlfn.XLOOKUP(A47,株式ポートフォリオ!$A:$A,株式ポートフォリオ!$E:$E,"該当なし",0,-1))</f>
        <v/>
      </c>
      <c r="C47" s="37" t="str">
        <f>IF(A47="","",_xlfn.XLOOKUP(A47,株式ポートフォリオ!$A:$A,株式ポートフォリオ!$D:$D,"該当なし",0,-1))</f>
        <v/>
      </c>
      <c r="D47" s="38"/>
      <c r="E47" s="43"/>
    </row>
    <row r="48" spans="1:7" s="26" customFormat="1" ht="14.25" x14ac:dyDescent="0.15">
      <c r="A48" s="31"/>
      <c r="B48" s="36" t="str">
        <f>IF(A48="","",_xlfn.XLOOKUP(A48,株式ポートフォリオ!$A:$A,株式ポートフォリオ!$E:$E,"該当なし",0,-1))</f>
        <v/>
      </c>
      <c r="C48" s="37" t="str">
        <f>IF(A48="","",_xlfn.XLOOKUP(A48,株式ポートフォリオ!$A:$A,株式ポートフォリオ!$D:$D,"該当なし",0,-1))</f>
        <v/>
      </c>
      <c r="D48" s="38"/>
      <c r="E48" s="43"/>
    </row>
    <row r="49" spans="1:5" s="26" customFormat="1" ht="14.25" x14ac:dyDescent="0.15">
      <c r="A49" s="31"/>
      <c r="B49" s="36" t="str">
        <f>IF(A49="","",_xlfn.XLOOKUP(A49,株式ポートフォリオ!$A:$A,株式ポートフォリオ!$E:$E,"該当なし",0,-1))</f>
        <v/>
      </c>
      <c r="C49" s="37" t="str">
        <f>IF(A49="","",_xlfn.XLOOKUP(A49,株式ポートフォリオ!$A:$A,株式ポートフォリオ!$D:$D,"該当なし",0,-1))</f>
        <v/>
      </c>
      <c r="D49" s="38"/>
      <c r="E49" s="43"/>
    </row>
    <row r="50" spans="1:5" s="26" customFormat="1" ht="14.25" x14ac:dyDescent="0.15">
      <c r="A50" s="31"/>
      <c r="B50" s="36" t="str">
        <f>IF(A50="","",_xlfn.XLOOKUP(A50,株式ポートフォリオ!$A:$A,株式ポートフォリオ!$E:$E,"該当なし",0,-1))</f>
        <v/>
      </c>
      <c r="C50" s="37" t="str">
        <f>IF(A50="","",_xlfn.XLOOKUP(A50,株式ポートフォリオ!$A:$A,株式ポートフォリオ!$D:$D,"該当なし",0,-1))</f>
        <v/>
      </c>
      <c r="D50" s="38"/>
      <c r="E50" s="43"/>
    </row>
    <row r="51" spans="1:5" s="26" customFormat="1" ht="14.25" x14ac:dyDescent="0.15">
      <c r="A51" s="31"/>
      <c r="B51" s="36" t="str">
        <f>IF(A51="","",_xlfn.XLOOKUP(A51,株式ポートフォリオ!$A:$A,株式ポートフォリオ!$E:$E,"該当なし",0,-1))</f>
        <v/>
      </c>
      <c r="C51" s="37" t="str">
        <f>IF(A51="","",_xlfn.XLOOKUP(A51,株式ポートフォリオ!$A:$A,株式ポートフォリオ!$D:$D,"該当なし",0,-1))</f>
        <v/>
      </c>
      <c r="D51" s="38"/>
      <c r="E51" s="43"/>
    </row>
    <row r="52" spans="1:5" s="26" customFormat="1" ht="14.25" x14ac:dyDescent="0.15">
      <c r="A52" s="31"/>
      <c r="B52" s="36" t="str">
        <f>IF(A52="","",_xlfn.XLOOKUP(A52,株式ポートフォリオ!$A:$A,株式ポートフォリオ!$E:$E,"該当なし",0,-1))</f>
        <v/>
      </c>
      <c r="C52" s="37" t="str">
        <f>IF(A52="","",_xlfn.XLOOKUP(A52,株式ポートフォリオ!$A:$A,株式ポートフォリオ!$D:$D,"該当なし",0,-1))</f>
        <v/>
      </c>
      <c r="D52" s="38"/>
      <c r="E52" s="43"/>
    </row>
    <row r="53" spans="1:5" s="26" customFormat="1" ht="14.25" x14ac:dyDescent="0.15">
      <c r="A53" s="31"/>
      <c r="B53" s="36" t="str">
        <f>IF(A53="","",_xlfn.XLOOKUP(A53,株式ポートフォリオ!$A:$A,株式ポートフォリオ!$E:$E,"該当なし",0,-1))</f>
        <v/>
      </c>
      <c r="C53" s="37" t="str">
        <f>IF(A53="","",_xlfn.XLOOKUP(A53,株式ポートフォリオ!$A:$A,株式ポートフォリオ!$D:$D,"該当なし",0,-1))</f>
        <v/>
      </c>
      <c r="D53" s="38"/>
      <c r="E53" s="43"/>
    </row>
    <row r="54" spans="1:5" s="26" customFormat="1" ht="14.25" x14ac:dyDescent="0.15">
      <c r="A54" s="31"/>
      <c r="B54" s="36" t="str">
        <f>IF(A54="","",_xlfn.XLOOKUP(A54,株式ポートフォリオ!$A:$A,株式ポートフォリオ!$E:$E,"該当なし",0,-1))</f>
        <v/>
      </c>
      <c r="C54" s="37" t="str">
        <f>IF(A54="","",_xlfn.XLOOKUP(A54,株式ポートフォリオ!$A:$A,株式ポートフォリオ!$D:$D,"該当なし",0,-1))</f>
        <v/>
      </c>
      <c r="D54" s="38"/>
      <c r="E54" s="43"/>
    </row>
    <row r="55" spans="1:5" s="26" customFormat="1" ht="14.25" x14ac:dyDescent="0.15">
      <c r="A55" s="31"/>
      <c r="B55" s="36" t="str">
        <f>IF(A55="","",_xlfn.XLOOKUP(A55,株式ポートフォリオ!$A:$A,株式ポートフォリオ!$E:$E,"該当なし",0,-1))</f>
        <v/>
      </c>
      <c r="C55" s="37" t="str">
        <f>IF(A55="","",_xlfn.XLOOKUP(A55,株式ポートフォリオ!$A:$A,株式ポートフォリオ!$D:$D,"該当なし",0,-1))</f>
        <v/>
      </c>
      <c r="D55" s="38"/>
      <c r="E55" s="43"/>
    </row>
    <row r="56" spans="1:5" s="26" customFormat="1" ht="14.25" x14ac:dyDescent="0.15">
      <c r="A56" s="31"/>
      <c r="B56" s="36" t="str">
        <f>IF(A56="","",_xlfn.XLOOKUP(A56,株式ポートフォリオ!$A:$A,株式ポートフォリオ!$E:$E,"該当なし",0,-1))</f>
        <v/>
      </c>
      <c r="C56" s="37" t="str">
        <f>IF(A56="","",_xlfn.XLOOKUP(A56,株式ポートフォリオ!$A:$A,株式ポートフォリオ!$D:$D,"該当なし",0,-1))</f>
        <v/>
      </c>
      <c r="D56" s="38"/>
      <c r="E56" s="43"/>
    </row>
    <row r="57" spans="1:5" s="26" customFormat="1" ht="14.25" x14ac:dyDescent="0.15">
      <c r="A57" s="31"/>
      <c r="B57" s="36" t="str">
        <f>IF(A57="","",_xlfn.XLOOKUP(A57,株式ポートフォリオ!$A:$A,株式ポートフォリオ!$E:$E,"該当なし",0,-1))</f>
        <v/>
      </c>
      <c r="C57" s="37" t="str">
        <f>IF(A57="","",_xlfn.XLOOKUP(A57,株式ポートフォリオ!$A:$A,株式ポートフォリオ!$D:$D,"該当なし",0,-1))</f>
        <v/>
      </c>
      <c r="D57" s="38"/>
      <c r="E57" s="43"/>
    </row>
    <row r="58" spans="1:5" s="26" customFormat="1" ht="14.25" x14ac:dyDescent="0.15">
      <c r="A58" s="31"/>
      <c r="B58" s="36" t="str">
        <f>IF(A58="","",_xlfn.XLOOKUP(A58,株式ポートフォリオ!$A:$A,株式ポートフォリオ!$E:$E,"該当なし",0,-1))</f>
        <v/>
      </c>
      <c r="C58" s="37" t="str">
        <f>IF(A58="","",_xlfn.XLOOKUP(A58,株式ポートフォリオ!$A:$A,株式ポートフォリオ!$D:$D,"該当なし",0,-1))</f>
        <v/>
      </c>
      <c r="D58" s="38"/>
      <c r="E58" s="43"/>
    </row>
    <row r="59" spans="1:5" s="26" customFormat="1" ht="14.25" x14ac:dyDescent="0.15">
      <c r="A59" s="31"/>
      <c r="B59" s="36" t="str">
        <f>IF(A59="","",_xlfn.XLOOKUP(A59,株式ポートフォリオ!$A:$A,株式ポートフォリオ!$E:$E,"該当なし",0,-1))</f>
        <v/>
      </c>
      <c r="C59" s="37" t="str">
        <f>IF(A59="","",_xlfn.XLOOKUP(A59,株式ポートフォリオ!$A:$A,株式ポートフォリオ!$D:$D,"該当なし",0,-1))</f>
        <v/>
      </c>
      <c r="D59" s="38"/>
      <c r="E59" s="43"/>
    </row>
    <row r="60" spans="1:5" s="26" customFormat="1" ht="14.25" x14ac:dyDescent="0.15">
      <c r="A60" s="31"/>
      <c r="B60" s="36" t="str">
        <f>IF(A60="","",_xlfn.XLOOKUP(A60,株式ポートフォリオ!$A:$A,株式ポートフォリオ!$E:$E,"該当なし",0,-1))</f>
        <v/>
      </c>
      <c r="C60" s="37" t="str">
        <f>IF(A60="","",_xlfn.XLOOKUP(A60,株式ポートフォリオ!$A:$A,株式ポートフォリオ!$D:$D,"該当なし",0,-1))</f>
        <v/>
      </c>
      <c r="D60" s="38"/>
      <c r="E60" s="43"/>
    </row>
    <row r="61" spans="1:5" s="26" customFormat="1" ht="14.25" x14ac:dyDescent="0.15">
      <c r="A61" s="31"/>
      <c r="B61" s="36" t="str">
        <f>IF(A61="","",_xlfn.XLOOKUP(A61,株式ポートフォリオ!$A:$A,株式ポートフォリオ!$E:$E,"該当なし",0,-1))</f>
        <v/>
      </c>
      <c r="C61" s="37" t="str">
        <f>IF(A61="","",_xlfn.XLOOKUP(A61,株式ポートフォリオ!$A:$A,株式ポートフォリオ!$D:$D,"該当なし",0,-1))</f>
        <v/>
      </c>
      <c r="D61" s="38"/>
      <c r="E61" s="43"/>
    </row>
    <row r="62" spans="1:5" s="26" customFormat="1" ht="14.25" x14ac:dyDescent="0.15">
      <c r="A62" s="31"/>
      <c r="B62" s="36" t="str">
        <f>IF(A62="","",_xlfn.XLOOKUP(A62,株式ポートフォリオ!$A:$A,株式ポートフォリオ!$E:$E,"該当なし",0,-1))</f>
        <v/>
      </c>
      <c r="C62" s="37" t="str">
        <f>IF(A62="","",_xlfn.XLOOKUP(A62,株式ポートフォリオ!$A:$A,株式ポートフォリオ!$D:$D,"該当なし",0,-1))</f>
        <v/>
      </c>
      <c r="D62" s="38"/>
      <c r="E62" s="43"/>
    </row>
    <row r="63" spans="1:5" s="26" customFormat="1" ht="14.25" x14ac:dyDescent="0.15">
      <c r="A63" s="31"/>
      <c r="B63" s="36" t="str">
        <f>IF(A63="","",_xlfn.XLOOKUP(A63,株式ポートフォリオ!$A:$A,株式ポートフォリオ!$E:$E,"該当なし",0,-1))</f>
        <v/>
      </c>
      <c r="C63" s="37" t="str">
        <f>IF(A63="","",_xlfn.XLOOKUP(A63,株式ポートフォリオ!$A:$A,株式ポートフォリオ!$D:$D,"該当なし",0,-1))</f>
        <v/>
      </c>
      <c r="D63" s="38"/>
      <c r="E63" s="43"/>
    </row>
    <row r="64" spans="1:5" s="26" customFormat="1" ht="14.25" x14ac:dyDescent="0.15">
      <c r="A64" s="31"/>
      <c r="B64" s="36" t="str">
        <f>IF(A64="","",_xlfn.XLOOKUP(A64,株式ポートフォリオ!$A:$A,株式ポートフォリオ!$E:$E,"該当なし",0,-1))</f>
        <v/>
      </c>
      <c r="C64" s="37" t="str">
        <f>IF(A64="","",_xlfn.XLOOKUP(A64,株式ポートフォリオ!$A:$A,株式ポートフォリオ!$D:$D,"該当なし",0,-1))</f>
        <v/>
      </c>
      <c r="D64" s="38"/>
      <c r="E64" s="43"/>
    </row>
    <row r="65" spans="1:5" s="26" customFormat="1" ht="14.25" x14ac:dyDescent="0.15">
      <c r="A65" s="31"/>
      <c r="B65" s="36" t="str">
        <f>IF(A65="","",_xlfn.XLOOKUP(A65,株式ポートフォリオ!$A:$A,株式ポートフォリオ!$E:$E,"該当なし",0,-1))</f>
        <v/>
      </c>
      <c r="C65" s="37" t="str">
        <f>IF(A65="","",_xlfn.XLOOKUP(A65,株式ポートフォリオ!$A:$A,株式ポートフォリオ!$D:$D,"該当なし",0,-1))</f>
        <v/>
      </c>
      <c r="D65" s="38"/>
      <c r="E65" s="43"/>
    </row>
    <row r="66" spans="1:5" s="26" customFormat="1" ht="14.25" x14ac:dyDescent="0.15">
      <c r="A66" s="31"/>
      <c r="B66" s="36" t="str">
        <f>IF(A66="","",_xlfn.XLOOKUP(A66,株式ポートフォリオ!$A:$A,株式ポートフォリオ!$E:$E,"該当なし",0,-1))</f>
        <v/>
      </c>
      <c r="C66" s="37" t="str">
        <f>IF(A66="","",_xlfn.XLOOKUP(A66,株式ポートフォリオ!$A:$A,株式ポートフォリオ!$D:$D,"該当なし",0,-1))</f>
        <v/>
      </c>
      <c r="D66" s="38"/>
      <c r="E66" s="43"/>
    </row>
    <row r="67" spans="1:5" s="26" customFormat="1" ht="14.25" x14ac:dyDescent="0.15">
      <c r="A67" s="31"/>
      <c r="B67" s="36" t="str">
        <f>IF(A67="","",_xlfn.XLOOKUP(A67,株式ポートフォリオ!$A:$A,株式ポートフォリオ!$E:$E,"該当なし",0,-1))</f>
        <v/>
      </c>
      <c r="C67" s="37" t="str">
        <f>IF(A67="","",_xlfn.XLOOKUP(A67,株式ポートフォリオ!$A:$A,株式ポートフォリオ!$D:$D,"該当なし",0,-1))</f>
        <v/>
      </c>
      <c r="D67" s="38"/>
      <c r="E67" s="43"/>
    </row>
    <row r="68" spans="1:5" s="26" customFormat="1" ht="14.25" x14ac:dyDescent="0.15">
      <c r="A68" s="31"/>
      <c r="B68" s="36" t="str">
        <f>IF(A68="","",_xlfn.XLOOKUP(A68,株式ポートフォリオ!$A:$A,株式ポートフォリオ!$E:$E,"該当なし",0,-1))</f>
        <v/>
      </c>
      <c r="C68" s="37" t="str">
        <f>IF(A68="","",_xlfn.XLOOKUP(A68,株式ポートフォリオ!$A:$A,株式ポートフォリオ!$D:$D,"該当なし",0,-1))</f>
        <v/>
      </c>
      <c r="D68" s="38"/>
      <c r="E68" s="43"/>
    </row>
    <row r="69" spans="1:5" s="26" customFormat="1" ht="14.25" x14ac:dyDescent="0.15">
      <c r="A69" s="31"/>
      <c r="B69" s="36" t="str">
        <f>IF(A69="","",_xlfn.XLOOKUP(A69,株式ポートフォリオ!$A:$A,株式ポートフォリオ!$E:$E,"該当なし",0,-1))</f>
        <v/>
      </c>
      <c r="C69" s="37" t="str">
        <f>IF(A69="","",_xlfn.XLOOKUP(A69,株式ポートフォリオ!$A:$A,株式ポートフォリオ!$D:$D,"該当なし",0,-1))</f>
        <v/>
      </c>
      <c r="D69" s="38"/>
      <c r="E69" s="43"/>
    </row>
    <row r="70" spans="1:5" s="26" customFormat="1" ht="14.25" x14ac:dyDescent="0.15">
      <c r="A70" s="31"/>
      <c r="B70" s="36" t="str">
        <f>IF(A70="","",_xlfn.XLOOKUP(A70,株式ポートフォリオ!$A:$A,株式ポートフォリオ!$E:$E,"該当なし",0,-1))</f>
        <v/>
      </c>
      <c r="C70" s="37" t="str">
        <f>IF(A70="","",_xlfn.XLOOKUP(A70,株式ポートフォリオ!$A:$A,株式ポートフォリオ!$D:$D,"該当なし",0,-1))</f>
        <v/>
      </c>
      <c r="D70" s="38"/>
      <c r="E70" s="43"/>
    </row>
    <row r="71" spans="1:5" s="26" customFormat="1" ht="14.25" x14ac:dyDescent="0.15">
      <c r="A71" s="31"/>
      <c r="B71" s="36" t="str">
        <f>IF(A71="","",_xlfn.XLOOKUP(A71,株式ポートフォリオ!$A:$A,株式ポートフォリオ!$E:$E,"該当なし",0,-1))</f>
        <v/>
      </c>
      <c r="C71" s="37" t="str">
        <f>IF(A71="","",_xlfn.XLOOKUP(A71,株式ポートフォリオ!$A:$A,株式ポートフォリオ!$D:$D,"該当なし",0,-1))</f>
        <v/>
      </c>
      <c r="D71" s="38"/>
      <c r="E71" s="43"/>
    </row>
    <row r="72" spans="1:5" s="26" customFormat="1" ht="14.25" x14ac:dyDescent="0.15">
      <c r="A72" s="31"/>
      <c r="B72" s="36" t="str">
        <f>IF(A72="","",_xlfn.XLOOKUP(A72,株式ポートフォリオ!$A:$A,株式ポートフォリオ!$E:$E,"該当なし",0,-1))</f>
        <v/>
      </c>
      <c r="C72" s="37" t="str">
        <f>IF(A72="","",_xlfn.XLOOKUP(A72,株式ポートフォリオ!$A:$A,株式ポートフォリオ!$D:$D,"該当なし",0,-1))</f>
        <v/>
      </c>
      <c r="D72" s="38"/>
      <c r="E72" s="43"/>
    </row>
    <row r="73" spans="1:5" s="26" customFormat="1" ht="14.25" x14ac:dyDescent="0.15">
      <c r="A73" s="31"/>
      <c r="B73" s="36" t="str">
        <f>IF(A73="","",_xlfn.XLOOKUP(A73,株式ポートフォリオ!$A:$A,株式ポートフォリオ!$E:$E,"該当なし",0,-1))</f>
        <v/>
      </c>
      <c r="C73" s="37" t="str">
        <f>IF(A73="","",_xlfn.XLOOKUP(A73,株式ポートフォリオ!$A:$A,株式ポートフォリオ!$D:$D,"該当なし",0,-1))</f>
        <v/>
      </c>
      <c r="D73" s="38"/>
      <c r="E73" s="43"/>
    </row>
    <row r="74" spans="1:5" s="26" customFormat="1" ht="14.25" x14ac:dyDescent="0.15">
      <c r="A74" s="31"/>
      <c r="B74" s="36" t="str">
        <f>IF(A74="","",_xlfn.XLOOKUP(A74,株式ポートフォリオ!$A:$A,株式ポートフォリオ!$E:$E,"該当なし",0,-1))</f>
        <v/>
      </c>
      <c r="C74" s="37" t="str">
        <f>IF(A74="","",_xlfn.XLOOKUP(A74,株式ポートフォリオ!$A:$A,株式ポートフォリオ!$D:$D,"該当なし",0,-1))</f>
        <v/>
      </c>
      <c r="D74" s="38"/>
      <c r="E74" s="43"/>
    </row>
    <row r="75" spans="1:5" s="26" customFormat="1" ht="14.25" x14ac:dyDescent="0.15">
      <c r="A75" s="31"/>
      <c r="B75" s="36" t="str">
        <f>IF(A75="","",_xlfn.XLOOKUP(A75,株式ポートフォリオ!$A:$A,株式ポートフォリオ!$E:$E,"該当なし",0,-1))</f>
        <v/>
      </c>
      <c r="C75" s="37" t="str">
        <f>IF(A75="","",_xlfn.XLOOKUP(A75,株式ポートフォリオ!$A:$A,株式ポートフォリオ!$D:$D,"該当なし",0,-1))</f>
        <v/>
      </c>
      <c r="D75" s="38"/>
      <c r="E75" s="43"/>
    </row>
    <row r="76" spans="1:5" s="26" customFormat="1" ht="14.25" x14ac:dyDescent="0.15">
      <c r="A76" s="31"/>
      <c r="B76" s="36" t="str">
        <f>IF(A76="","",_xlfn.XLOOKUP(A76,株式ポートフォリオ!$A:$A,株式ポートフォリオ!$E:$E,"該当なし",0,-1))</f>
        <v/>
      </c>
      <c r="C76" s="37" t="str">
        <f>IF(A76="","",_xlfn.XLOOKUP(A76,株式ポートフォリオ!$A:$A,株式ポートフォリオ!$D:$D,"該当なし",0,-1))</f>
        <v/>
      </c>
      <c r="D76" s="38"/>
      <c r="E76" s="43"/>
    </row>
    <row r="77" spans="1:5" s="26" customFormat="1" ht="14.25" x14ac:dyDescent="0.15">
      <c r="A77" s="31"/>
      <c r="B77" s="36" t="str">
        <f>IF(A77="","",_xlfn.XLOOKUP(A77,株式ポートフォリオ!$A:$A,株式ポートフォリオ!$E:$E,"該当なし",0,-1))</f>
        <v/>
      </c>
      <c r="C77" s="37" t="str">
        <f>IF(A77="","",_xlfn.XLOOKUP(A77,株式ポートフォリオ!$A:$A,株式ポートフォリオ!$D:$D,"該当なし",0,-1))</f>
        <v/>
      </c>
      <c r="D77" s="38"/>
      <c r="E77" s="43"/>
    </row>
    <row r="78" spans="1:5" s="26" customFormat="1" ht="14.25" x14ac:dyDescent="0.15">
      <c r="A78" s="31"/>
      <c r="B78" s="36" t="str">
        <f>IF(A78="","",_xlfn.XLOOKUP(A78,株式ポートフォリオ!$A:$A,株式ポートフォリオ!$E:$E,"該当なし",0,-1))</f>
        <v/>
      </c>
      <c r="C78" s="37" t="str">
        <f>IF(A78="","",_xlfn.XLOOKUP(A78,株式ポートフォリオ!$A:$A,株式ポートフォリオ!$D:$D,"該当なし",0,-1))</f>
        <v/>
      </c>
      <c r="D78" s="38"/>
      <c r="E78" s="43"/>
    </row>
    <row r="79" spans="1:5" s="26" customFormat="1" ht="14.25" x14ac:dyDescent="0.15">
      <c r="A79" s="31"/>
      <c r="B79" s="36" t="str">
        <f>IF(A79="","",_xlfn.XLOOKUP(A79,株式ポートフォリオ!$A:$A,株式ポートフォリオ!$E:$E,"該当なし",0,-1))</f>
        <v/>
      </c>
      <c r="C79" s="37" t="str">
        <f>IF(A79="","",_xlfn.XLOOKUP(A79,株式ポートフォリオ!$A:$A,株式ポートフォリオ!$D:$D,"該当なし",0,-1))</f>
        <v/>
      </c>
      <c r="D79" s="38"/>
      <c r="E79" s="43"/>
    </row>
    <row r="80" spans="1:5" s="26" customFormat="1" ht="14.25" x14ac:dyDescent="0.15">
      <c r="A80" s="31"/>
      <c r="B80" s="36" t="str">
        <f>IF(A80="","",_xlfn.XLOOKUP(A80,株式ポートフォリオ!$A:$A,株式ポートフォリオ!$E:$E,"該当なし",0,-1))</f>
        <v/>
      </c>
      <c r="C80" s="37" t="str">
        <f>IF(A80="","",_xlfn.XLOOKUP(A80,株式ポートフォリオ!$A:$A,株式ポートフォリオ!$D:$D,"該当なし",0,-1))</f>
        <v/>
      </c>
      <c r="D80" s="38"/>
      <c r="E80" s="43"/>
    </row>
    <row r="81" spans="1:5" s="26" customFormat="1" ht="14.25" x14ac:dyDescent="0.15">
      <c r="A81" s="31"/>
      <c r="B81" s="36" t="str">
        <f>IF(A81="","",_xlfn.XLOOKUP(A81,株式ポートフォリオ!$A:$A,株式ポートフォリオ!$E:$E,"該当なし",0,-1))</f>
        <v/>
      </c>
      <c r="C81" s="37" t="str">
        <f>IF(A81="","",_xlfn.XLOOKUP(A81,株式ポートフォリオ!$A:$A,株式ポートフォリオ!$D:$D,"該当なし",0,-1))</f>
        <v/>
      </c>
      <c r="D81" s="38"/>
      <c r="E81" s="43"/>
    </row>
    <row r="82" spans="1:5" s="26" customFormat="1" ht="14.25" x14ac:dyDescent="0.15">
      <c r="A82" s="31"/>
      <c r="B82" s="36" t="str">
        <f>IF(A82="","",_xlfn.XLOOKUP(A82,株式ポートフォリオ!$A:$A,株式ポートフォリオ!$E:$E,"該当なし",0,-1))</f>
        <v/>
      </c>
      <c r="C82" s="37" t="str">
        <f>IF(A82="","",_xlfn.XLOOKUP(A82,株式ポートフォリオ!$A:$A,株式ポートフォリオ!$D:$D,"該当なし",0,-1))</f>
        <v/>
      </c>
      <c r="D82" s="38"/>
      <c r="E82" s="43"/>
    </row>
    <row r="83" spans="1:5" s="26" customFormat="1" ht="14.25" x14ac:dyDescent="0.15">
      <c r="A83" s="31"/>
      <c r="B83" s="36" t="str">
        <f>IF(A83="","",_xlfn.XLOOKUP(A83,株式ポートフォリオ!$A:$A,株式ポートフォリオ!$E:$E,"該当なし",0,-1))</f>
        <v/>
      </c>
      <c r="C83" s="37" t="str">
        <f>IF(A83="","",_xlfn.XLOOKUP(A83,株式ポートフォリオ!$A:$A,株式ポートフォリオ!$D:$D,"該当なし",0,-1))</f>
        <v/>
      </c>
      <c r="D83" s="38"/>
      <c r="E83" s="43"/>
    </row>
    <row r="84" spans="1:5" s="26" customFormat="1" ht="14.25" x14ac:dyDescent="0.15">
      <c r="A84" s="31"/>
      <c r="B84" s="36" t="str">
        <f>IF(A84="","",_xlfn.XLOOKUP(A84,株式ポートフォリオ!$A:$A,株式ポートフォリオ!$E:$E,"該当なし",0,-1))</f>
        <v/>
      </c>
      <c r="C84" s="37" t="str">
        <f>IF(A84="","",_xlfn.XLOOKUP(A84,株式ポートフォリオ!$A:$A,株式ポートフォリオ!$D:$D,"該当なし",0,-1))</f>
        <v/>
      </c>
      <c r="D84" s="38"/>
      <c r="E84" s="43"/>
    </row>
    <row r="85" spans="1:5" s="26" customFormat="1" ht="14.25" x14ac:dyDescent="0.15">
      <c r="A85" s="31"/>
      <c r="B85" s="36" t="str">
        <f>IF(A85="","",_xlfn.XLOOKUP(A85,株式ポートフォリオ!$A:$A,株式ポートフォリオ!$E:$E,"該当なし",0,-1))</f>
        <v/>
      </c>
      <c r="C85" s="37" t="str">
        <f>IF(A85="","",_xlfn.XLOOKUP(A85,株式ポートフォリオ!$A:$A,株式ポートフォリオ!$D:$D,"該当なし",0,-1))</f>
        <v/>
      </c>
      <c r="D85" s="38"/>
      <c r="E85" s="43"/>
    </row>
    <row r="86" spans="1:5" s="26" customFormat="1" ht="14.25" x14ac:dyDescent="0.15">
      <c r="A86" s="31"/>
      <c r="B86" s="36" t="str">
        <f>IF(A86="","",_xlfn.XLOOKUP(A86,株式ポートフォリオ!$A:$A,株式ポートフォリオ!$E:$E,"該当なし",0,-1))</f>
        <v/>
      </c>
      <c r="C86" s="37" t="str">
        <f>IF(A86="","",_xlfn.XLOOKUP(A86,株式ポートフォリオ!$A:$A,株式ポートフォリオ!$D:$D,"該当なし",0,-1))</f>
        <v/>
      </c>
      <c r="D86" s="38"/>
      <c r="E86" s="43"/>
    </row>
    <row r="87" spans="1:5" s="26" customFormat="1" ht="14.25" x14ac:dyDescent="0.15">
      <c r="A87" s="31"/>
      <c r="B87" s="36" t="str">
        <f>IF(A87="","",_xlfn.XLOOKUP(A87,株式ポートフォリオ!$A:$A,株式ポートフォリオ!$E:$E,"該当なし",0,-1))</f>
        <v/>
      </c>
      <c r="C87" s="37" t="str">
        <f>IF(A87="","",_xlfn.XLOOKUP(A87,株式ポートフォリオ!$A:$A,株式ポートフォリオ!$D:$D,"該当なし",0,-1))</f>
        <v/>
      </c>
      <c r="D87" s="38"/>
      <c r="E87" s="43"/>
    </row>
    <row r="88" spans="1:5" s="26" customFormat="1" ht="14.25" x14ac:dyDescent="0.15">
      <c r="A88" s="31"/>
      <c r="B88" s="36" t="str">
        <f>IF(A88="","",_xlfn.XLOOKUP(A88,株式ポートフォリオ!$A:$A,株式ポートフォリオ!$E:$E,"該当なし",0,-1))</f>
        <v/>
      </c>
      <c r="C88" s="37" t="str">
        <f>IF(A88="","",_xlfn.XLOOKUP(A88,株式ポートフォリオ!$A:$A,株式ポートフォリオ!$D:$D,"該当なし",0,-1))</f>
        <v/>
      </c>
      <c r="D88" s="38"/>
      <c r="E88" s="43"/>
    </row>
    <row r="89" spans="1:5" s="26" customFormat="1" ht="14.25" x14ac:dyDescent="0.15">
      <c r="A89" s="31"/>
      <c r="B89" s="36" t="str">
        <f>IF(A89="","",_xlfn.XLOOKUP(A89,株式ポートフォリオ!$A:$A,株式ポートフォリオ!$E:$E,"該当なし",0,-1))</f>
        <v/>
      </c>
      <c r="C89" s="37" t="str">
        <f>IF(A89="","",_xlfn.XLOOKUP(A89,株式ポートフォリオ!$A:$A,株式ポートフォリオ!$D:$D,"該当なし",0,-1))</f>
        <v/>
      </c>
      <c r="D89" s="38"/>
      <c r="E89" s="43"/>
    </row>
    <row r="90" spans="1:5" s="26" customFormat="1" ht="14.25" x14ac:dyDescent="0.15">
      <c r="A90" s="31"/>
      <c r="B90" s="36" t="str">
        <f>IF(A90="","",_xlfn.XLOOKUP(A90,株式ポートフォリオ!$A:$A,株式ポートフォリオ!$E:$E,"該当なし",0,-1))</f>
        <v/>
      </c>
      <c r="C90" s="37" t="str">
        <f>IF(A90="","",_xlfn.XLOOKUP(A90,株式ポートフォリオ!$A:$A,株式ポートフォリオ!$D:$D,"該当なし",0,-1))</f>
        <v/>
      </c>
      <c r="D90" s="38"/>
      <c r="E90" s="43"/>
    </row>
    <row r="91" spans="1:5" s="26" customFormat="1" ht="14.25" x14ac:dyDescent="0.15">
      <c r="A91" s="31"/>
      <c r="B91" s="36" t="str">
        <f>IF(A91="","",_xlfn.XLOOKUP(A91,株式ポートフォリオ!$A:$A,株式ポートフォリオ!$E:$E,"該当なし",0,-1))</f>
        <v/>
      </c>
      <c r="C91" s="37" t="str">
        <f>IF(A91="","",_xlfn.XLOOKUP(A91,株式ポートフォリオ!$A:$A,株式ポートフォリオ!$D:$D,"該当なし",0,-1))</f>
        <v/>
      </c>
      <c r="D91" s="38"/>
      <c r="E91" s="43"/>
    </row>
    <row r="92" spans="1:5" s="26" customFormat="1" ht="14.25" x14ac:dyDescent="0.15">
      <c r="A92" s="31"/>
      <c r="B92" s="36" t="str">
        <f>IF(A92="","",_xlfn.XLOOKUP(A92,株式ポートフォリオ!$A:$A,株式ポートフォリオ!$E:$E,"該当なし",0,-1))</f>
        <v/>
      </c>
      <c r="C92" s="37" t="str">
        <f>IF(A92="","",_xlfn.XLOOKUP(A92,株式ポートフォリオ!$A:$A,株式ポートフォリオ!$D:$D,"該当なし",0,-1))</f>
        <v/>
      </c>
      <c r="D92" s="38"/>
      <c r="E92" s="43"/>
    </row>
    <row r="93" spans="1:5" s="26" customFormat="1" ht="14.25" x14ac:dyDescent="0.15">
      <c r="A93" s="31"/>
      <c r="B93" s="36" t="str">
        <f>IF(A93="","",_xlfn.XLOOKUP(A93,株式ポートフォリオ!$A:$A,株式ポートフォリオ!$E:$E,"該当なし",0,-1))</f>
        <v/>
      </c>
      <c r="C93" s="37" t="str">
        <f>IF(A93="","",_xlfn.XLOOKUP(A93,株式ポートフォリオ!$A:$A,株式ポートフォリオ!$D:$D,"該当なし",0,-1))</f>
        <v/>
      </c>
      <c r="D93" s="38"/>
      <c r="E93" s="43"/>
    </row>
    <row r="94" spans="1:5" s="26" customFormat="1" ht="14.25" x14ac:dyDescent="0.15">
      <c r="A94" s="31"/>
      <c r="B94" s="36" t="str">
        <f>IF(A94="","",_xlfn.XLOOKUP(A94,株式ポートフォリオ!$A:$A,株式ポートフォリオ!$E:$E,"該当なし",0,-1))</f>
        <v/>
      </c>
      <c r="C94" s="37" t="str">
        <f>IF(A94="","",_xlfn.XLOOKUP(A94,株式ポートフォリオ!$A:$A,株式ポートフォリオ!$D:$D,"該当なし",0,-1))</f>
        <v/>
      </c>
      <c r="D94" s="38"/>
      <c r="E94" s="43"/>
    </row>
    <row r="95" spans="1:5" s="26" customFormat="1" ht="14.25" x14ac:dyDescent="0.15">
      <c r="A95" s="31"/>
      <c r="B95" s="36" t="str">
        <f>IF(A95="","",_xlfn.XLOOKUP(A95,株式ポートフォリオ!$A:$A,株式ポートフォリオ!$E:$E,"該当なし",0,-1))</f>
        <v/>
      </c>
      <c r="C95" s="37" t="str">
        <f>IF(A95="","",_xlfn.XLOOKUP(A95,株式ポートフォリオ!$A:$A,株式ポートフォリオ!$D:$D,"該当なし",0,-1))</f>
        <v/>
      </c>
      <c r="D95" s="38"/>
      <c r="E95" s="43"/>
    </row>
    <row r="96" spans="1:5" s="26" customFormat="1" ht="14.25" x14ac:dyDescent="0.15">
      <c r="A96" s="31"/>
      <c r="B96" s="36" t="str">
        <f>IF(A96="","",_xlfn.XLOOKUP(A96,株式ポートフォリオ!$A:$A,株式ポートフォリオ!$E:$E,"該当なし",0,-1))</f>
        <v/>
      </c>
      <c r="C96" s="37" t="str">
        <f>IF(A96="","",_xlfn.XLOOKUP(A96,株式ポートフォリオ!$A:$A,株式ポートフォリオ!$D:$D,"該当なし",0,-1))</f>
        <v/>
      </c>
      <c r="D96" s="38"/>
      <c r="E96" s="43"/>
    </row>
    <row r="97" spans="1:5" s="26" customFormat="1" ht="14.25" x14ac:dyDescent="0.15">
      <c r="A97" s="31"/>
      <c r="B97" s="36" t="str">
        <f>IF(A97="","",_xlfn.XLOOKUP(A97,株式ポートフォリオ!$A:$A,株式ポートフォリオ!$E:$E,"該当なし",0,-1))</f>
        <v/>
      </c>
      <c r="C97" s="37" t="str">
        <f>IF(A97="","",_xlfn.XLOOKUP(A97,株式ポートフォリオ!$A:$A,株式ポートフォリオ!$D:$D,"該当なし",0,-1))</f>
        <v/>
      </c>
      <c r="D97" s="38"/>
      <c r="E97" s="43"/>
    </row>
    <row r="98" spans="1:5" s="26" customFormat="1" ht="14.25" x14ac:dyDescent="0.15">
      <c r="A98" s="31"/>
      <c r="B98" s="36" t="str">
        <f>IF(A98="","",_xlfn.XLOOKUP(A98,株式ポートフォリオ!$A:$A,株式ポートフォリオ!$E:$E,"該当なし",0,-1))</f>
        <v/>
      </c>
      <c r="C98" s="37" t="str">
        <f>IF(A98="","",_xlfn.XLOOKUP(A98,株式ポートフォリオ!$A:$A,株式ポートフォリオ!$D:$D,"該当なし",0,-1))</f>
        <v/>
      </c>
      <c r="D98" s="38"/>
      <c r="E98" s="43"/>
    </row>
    <row r="99" spans="1:5" s="26" customFormat="1" ht="14.25" x14ac:dyDescent="0.15">
      <c r="A99" s="31"/>
      <c r="B99" s="36" t="str">
        <f>IF(A99="","",_xlfn.XLOOKUP(A99,株式ポートフォリオ!$A:$A,株式ポートフォリオ!$E:$E,"該当なし",0,-1))</f>
        <v/>
      </c>
      <c r="C99" s="37" t="str">
        <f>IF(A99="","",_xlfn.XLOOKUP(A99,株式ポートフォリオ!$A:$A,株式ポートフォリオ!$D:$D,"該当なし",0,-1))</f>
        <v/>
      </c>
      <c r="D99" s="38"/>
      <c r="E99" s="39"/>
    </row>
    <row r="100" spans="1:5" s="26" customFormat="1" ht="14.25" x14ac:dyDescent="0.15">
      <c r="A100" s="31"/>
      <c r="B100" s="36" t="str">
        <f>IF(A100="","",_xlfn.XLOOKUP(A100,株式ポートフォリオ!$A:$A,株式ポートフォリオ!$E:$E,"該当なし",0,-1))</f>
        <v/>
      </c>
      <c r="C100" s="37" t="str">
        <f>IF(A100="","",_xlfn.XLOOKUP(A100,株式ポートフォリオ!$A:$A,株式ポートフォリオ!$D:$D,"該当なし",0,-1))</f>
        <v/>
      </c>
      <c r="D100" s="38"/>
      <c r="E100" s="39"/>
    </row>
    <row r="101" spans="1:5" s="26" customFormat="1" ht="14.25" x14ac:dyDescent="0.15">
      <c r="A101" s="31"/>
      <c r="B101" s="36" t="str">
        <f>IF(A101="","",_xlfn.XLOOKUP(A101,株式ポートフォリオ!$A:$A,株式ポートフォリオ!$E:$E,"該当なし",0,-1))</f>
        <v/>
      </c>
      <c r="C101" s="37" t="str">
        <f>IF(A101="","",_xlfn.XLOOKUP(A101,株式ポートフォリオ!$A:$A,株式ポートフォリオ!$D:$D,"該当なし",0,-1))</f>
        <v/>
      </c>
      <c r="D101" s="38"/>
      <c r="E101" s="39"/>
    </row>
    <row r="102" spans="1:5" s="26" customFormat="1" ht="14.25" x14ac:dyDescent="0.15">
      <c r="A102" s="31"/>
      <c r="B102" s="36" t="str">
        <f>IF(A102="","",_xlfn.XLOOKUP(A102,株式ポートフォリオ!$A:$A,株式ポートフォリオ!$E:$E,"該当なし",0,-1))</f>
        <v/>
      </c>
      <c r="C102" s="37" t="str">
        <f>IF(A102="","",_xlfn.XLOOKUP(A102,株式ポートフォリオ!$A:$A,株式ポートフォリオ!$D:$D,"該当なし",0,-1))</f>
        <v/>
      </c>
      <c r="D102" s="38"/>
      <c r="E102" s="39"/>
    </row>
    <row r="103" spans="1:5" s="26" customFormat="1" ht="14.25" x14ac:dyDescent="0.15">
      <c r="A103" s="31"/>
      <c r="B103" s="36" t="str">
        <f>IF(A103="","",_xlfn.XLOOKUP(A103,株式ポートフォリオ!$A:$A,株式ポートフォリオ!$E:$E,"該当なし",0,-1))</f>
        <v/>
      </c>
      <c r="C103" s="37" t="str">
        <f>IF(A103="","",_xlfn.XLOOKUP(A103,株式ポートフォリオ!$A:$A,株式ポートフォリオ!$D:$D,"該当なし",0,-1))</f>
        <v/>
      </c>
      <c r="D103" s="38"/>
      <c r="E103" s="39"/>
    </row>
  </sheetData>
  <phoneticPr fontId="1"/>
  <conditionalFormatting sqref="B2:C19 B20:B30 C20:C34">
    <cfRule type="containsText" dxfId="4" priority="6" operator="containsText" text="該当なし">
      <formula>NOT(ISERROR(SEARCH("該当なし",B2)))</formula>
    </cfRule>
  </conditionalFormatting>
  <conditionalFormatting sqref="B35:C37 B31:B34 B39:C40 B38 B42:C101 B41">
    <cfRule type="containsText" dxfId="3" priority="4" operator="containsText" text="該当なし">
      <formula>NOT(ISERROR(SEARCH("該当なし",B31)))</formula>
    </cfRule>
  </conditionalFormatting>
  <conditionalFormatting sqref="B102:C103">
    <cfRule type="containsText" dxfId="2" priority="3" operator="containsText" text="該当なし">
      <formula>NOT(ISERROR(SEARCH("該当なし",B102)))</formula>
    </cfRule>
  </conditionalFormatting>
  <conditionalFormatting sqref="C38">
    <cfRule type="containsText" dxfId="1" priority="2" operator="containsText" text="該当なし">
      <formula>NOT(ISERROR(SEARCH("該当なし",C38)))</formula>
    </cfRule>
  </conditionalFormatting>
  <conditionalFormatting sqref="C41">
    <cfRule type="containsText" dxfId="0" priority="1" operator="containsText" text="該当なし">
      <formula>NOT(ISERROR(SEARCH("該当なし",C41)))</formula>
    </cfRule>
  </conditionalFormatting>
  <hyperlinks>
    <hyperlink ref="C2" r:id="rId1" display="https://www.tradingview.com/x/e4aXXF4R/" xr:uid="{C8A08467-ED24-4629-8F60-1FCF14E65E65}"/>
    <hyperlink ref="C4" r:id="rId2" display="https://www.tradingview.com/x/rLeDk7B9/" xr:uid="{1768D1CD-DC09-4F69-8807-7853052D368A}"/>
    <hyperlink ref="C5" r:id="rId3" display="https://www.tradingview.com/x/6wVL9kIH/" xr:uid="{CC8DAAD4-0928-4B12-BEC9-0EA960086F06}"/>
    <hyperlink ref="C7" r:id="rId4" display="https://www.tradingview.com/x/ujH06ZFQ/" xr:uid="{4532CB15-1E23-431B-B60B-765B12F7CC75}"/>
    <hyperlink ref="C8" r:id="rId5" display="https://www.tradingview.com/x/X8RTNpqQ/" xr:uid="{EF50D524-6308-45C3-BF53-BF050F3996F5}"/>
    <hyperlink ref="C10" r:id="rId6" display="https://www.tradingview.com/x/DgtYauzp/" xr:uid="{54F1268E-84E6-48CB-9AEF-4DC655943EF8}"/>
    <hyperlink ref="C11" r:id="rId7" display="https://www.tradingview.com/x/DgtYauzp/" xr:uid="{E87E93CB-7DFD-45A7-B5E9-AEE8BAB62D2F}"/>
    <hyperlink ref="C13" r:id="rId8" display="https://www.tradingview.com/x/VWMHpiSN/" xr:uid="{17B39D31-193C-4114-849A-84FFBFA9149F}"/>
    <hyperlink ref="C14" r:id="rId9" display="https://www.tradingview.com/x/VWMHpiSN/" xr:uid="{C5867DD7-3244-4DE3-BED1-ABE44E0BA7B6}"/>
    <hyperlink ref="C15" r:id="rId10" display="https://www.tradingview.com/x/VWMHpiSN/" xr:uid="{7C4CF606-E97C-4C94-96B8-0FC4981A118B}"/>
    <hyperlink ref="C16" r:id="rId11" xr:uid="{93F37763-8CE4-452A-B07D-4356208D1A04}"/>
    <hyperlink ref="E15" r:id="rId12" xr:uid="{7B300B4B-A3BF-4EA1-9FD0-2858E1BAD851}"/>
    <hyperlink ref="C17" r:id="rId13" display="https://www.tradingview.com/x/dg8ch6BY/" xr:uid="{6B5475AC-B70D-4128-9BA5-3872DEEC1D65}"/>
    <hyperlink ref="C18" r:id="rId14" display="https://www.tradingview.com/x/dg8ch6BY/" xr:uid="{1B8208C4-82EE-474A-AAD7-65C04448D3B6}"/>
    <hyperlink ref="C20" r:id="rId15" display="https://www.tradingview.com/x/3VYYbSFr/" xr:uid="{350AE5AE-4D2D-4C2B-B244-245426CE2B77}"/>
    <hyperlink ref="C21" r:id="rId16" display="https://www.tradingview.com/x/3VYYbSFr/" xr:uid="{64F906CE-F54C-4839-9872-C9C556A99733}"/>
    <hyperlink ref="C22" r:id="rId17" display="https://www.tradingview.com/x/3VYYbSFr/" xr:uid="{E85246EA-980D-40FA-908A-5723559A0BA1}"/>
    <hyperlink ref="C23" r:id="rId18" display="https://www.tradingview.com/x/3VYYbSFr/" xr:uid="{0B86C4D6-CEF7-4366-A264-D15635443A9E}"/>
    <hyperlink ref="C25" r:id="rId19" display="https://www.tradingview.com/x/hwSdXo8i/" xr:uid="{3E128F2B-CDA6-4B29-A455-DA61DF293045}"/>
    <hyperlink ref="C26" r:id="rId20" display="https://www.tradingview.com/x/oQKKJHxq/" xr:uid="{E5BD78EA-C62E-4845-A527-99779D783429}"/>
    <hyperlink ref="C28" r:id="rId21" display="https://www.tradingview.com/x/KbMObiqO/" xr:uid="{57E05BCF-6776-459A-93D3-1E21AEB213C5}"/>
    <hyperlink ref="C29" r:id="rId22" display="https://www.tradingview.com/x/a5G88IVC/" xr:uid="{AF2C6C76-A062-4B0B-9F6C-00373B98E49B}"/>
    <hyperlink ref="C30" r:id="rId23" display="https://www.tradingview.com/x/OCmTpwDr/" xr:uid="{5FD44E0D-817E-4FDC-B6D1-C0FFC5C9C79E}"/>
    <hyperlink ref="C31" r:id="rId24" display="https://www.tradingview.com/x/3udryjsE/" xr:uid="{20DD7295-0719-45B7-BE59-B7B67673C2BF}"/>
    <hyperlink ref="C32" r:id="rId25" xr:uid="{35A53FB2-67B3-4098-A5CC-136C52AAB999}"/>
    <hyperlink ref="C33" r:id="rId26" display="https://www.tradingview.com/x/3bXCYCcS/" xr:uid="{6D9612D0-9890-4E6B-8CF4-3789574C86F4}"/>
    <hyperlink ref="C34" r:id="rId27" xr:uid="{3EDC611C-0ABC-4C9E-A9A5-0AE36EC5D932}"/>
    <hyperlink ref="C37" r:id="rId28" display="https://www.tradingview.com/x/FXlemE0D/" xr:uid="{54BA22F0-6FD9-4600-B7D9-3B262C441348}"/>
    <hyperlink ref="C35" r:id="rId29" display="https://www.tradingview.com/x/XlUrGkgt/" xr:uid="{B3FC0F82-3DAD-4983-9562-9054CD1DFB61}"/>
    <hyperlink ref="C36" r:id="rId30" display="https://www.tradingview.com/x/uXmmbkZG/" xr:uid="{72D7B64F-C7B9-414E-9392-BB88DB3570DC}"/>
    <hyperlink ref="C39" r:id="rId31" display="https://www.tradingview.com/x/A5psBk8P/" xr:uid="{E93A72A7-935A-4ED5-B291-CBE8B0ADC143}"/>
    <hyperlink ref="C40" r:id="rId32" display="https://www.tradingview.com/x/A5psBk8P/" xr:uid="{3A36E253-4C8B-4EC5-BFE3-46C464046E16}"/>
    <hyperlink ref="C38" r:id="rId33" xr:uid="{B9FAC6E5-CD6B-48DB-9A94-3214793F4D2A}"/>
    <hyperlink ref="C41" r:id="rId34" xr:uid="{CC289335-0FC0-469C-92A6-B820084416A2}"/>
    <hyperlink ref="C42" r:id="rId35" display="https://www.tradingview.com/x/esnCyZWp/" xr:uid="{2280D590-D986-48E4-8143-71B594A623E6}"/>
  </hyperlinks>
  <pageMargins left="0.7" right="0.7" top="0.75" bottom="0.75" header="0.51180555555555496" footer="0.51180555555555496"/>
  <pageSetup paperSize="9" firstPageNumber="0" orientation="portrait" horizontalDpi="300" verticalDpi="300" r:id="rId3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92EB1-FE67-41C8-90DF-6F145B8F878F}">
  <sheetPr codeName="Sheet3"/>
  <dimension ref="A1:O98"/>
  <sheetViews>
    <sheetView topLeftCell="A12" workbookViewId="0">
      <selection activeCell="N42" sqref="N42"/>
    </sheetView>
  </sheetViews>
  <sheetFormatPr defaultRowHeight="12" x14ac:dyDescent="0.15"/>
  <cols>
    <col min="1" max="1" width="21.5703125" customWidth="1"/>
    <col min="2" max="4" width="9.140625" customWidth="1"/>
    <col min="6" max="6" width="11.42578125" customWidth="1"/>
    <col min="9" max="9" width="12.140625" customWidth="1"/>
    <col min="10" max="10" width="9.42578125" customWidth="1"/>
    <col min="11" max="11" width="12.5703125" customWidth="1"/>
  </cols>
  <sheetData>
    <row r="1" spans="1:15" ht="23.25" thickBot="1" x14ac:dyDescent="0.55000000000000004">
      <c r="A1" s="57" t="s">
        <v>1153</v>
      </c>
      <c r="N1" s="54" t="s">
        <v>1160</v>
      </c>
      <c r="O1" s="56" t="s">
        <v>1159</v>
      </c>
    </row>
    <row r="2" spans="1:15" ht="23.25" thickBot="1" x14ac:dyDescent="0.5">
      <c r="A2" s="55" t="str">
        <f>N2&amp;"年"&amp;N4&amp;"月"</f>
        <v>2026年2月</v>
      </c>
      <c r="N2" s="53">
        <v>2026</v>
      </c>
      <c r="O2" s="52" t="s">
        <v>1158</v>
      </c>
    </row>
    <row r="3" spans="1:15" ht="19.5" thickBot="1" x14ac:dyDescent="0.4">
      <c r="N3" s="54" t="s">
        <v>1131</v>
      </c>
      <c r="O3" s="52" t="s">
        <v>1157</v>
      </c>
    </row>
    <row r="4" spans="1:15" ht="23.25" thickBot="1" x14ac:dyDescent="0.5">
      <c r="A4" s="104"/>
      <c r="B4" s="102"/>
      <c r="C4" s="102"/>
      <c r="D4" s="102"/>
      <c r="E4" s="102"/>
      <c r="F4" s="102"/>
      <c r="G4" s="102"/>
      <c r="H4" s="102"/>
      <c r="I4" s="102"/>
      <c r="J4" s="102"/>
      <c r="K4" s="102"/>
      <c r="L4" s="102"/>
      <c r="N4" s="53">
        <v>2</v>
      </c>
      <c r="O4" s="52" t="s">
        <v>1156</v>
      </c>
    </row>
    <row r="5" spans="1:15" ht="18.75" x14ac:dyDescent="0.35">
      <c r="A5" s="50" t="s">
        <v>1152</v>
      </c>
      <c r="B5" s="50" t="s">
        <v>1151</v>
      </c>
      <c r="C5" s="50" t="s">
        <v>1150</v>
      </c>
      <c r="D5" s="50" t="s">
        <v>1149</v>
      </c>
      <c r="E5" s="50" t="s">
        <v>1139</v>
      </c>
      <c r="F5" s="50" t="s">
        <v>1138</v>
      </c>
      <c r="G5" s="50" t="s">
        <v>1137</v>
      </c>
      <c r="H5" s="50" t="s">
        <v>1148</v>
      </c>
      <c r="I5" s="50" t="s">
        <v>1147</v>
      </c>
      <c r="J5" s="50" t="s">
        <v>1146</v>
      </c>
      <c r="K5" s="50" t="s">
        <v>1134</v>
      </c>
      <c r="L5" s="50" t="s">
        <v>1132</v>
      </c>
      <c r="O5" s="52" t="s">
        <v>1155</v>
      </c>
    </row>
    <row r="6" spans="1:15" x14ac:dyDescent="0.15">
      <c r="A6" s="51" t="s">
        <v>1145</v>
      </c>
      <c r="B6" s="49">
        <f>DATE($N$2,$N$4,1)+MOD(2-WEEKDAY(DATE($N$2,$N$4,1)),7)</f>
        <v>46055</v>
      </c>
      <c r="C6" s="49">
        <f>B6+4</f>
        <v>46059</v>
      </c>
      <c r="D6" s="48" cm="1">
        <f t="array" ref="D6">SUMPRODUCT((株式ポートフォリオ!$C$8:$C$300&lt;&gt;"")*(IFERROR(VALUE(SUBSTITUTE(LEFT(株式ポートフォリオ!$E$8:$E$300,5),".",""))&gt;=VALUE(TEXT(B6,"mmdd")),0))*(IFERROR(VALUE(SUBSTITUTE(LEFT(株式ポートフォリオ!$E$8:$E$300,5),".",""))&lt;=VALUE(TEXT(C6,"mmdd")),0)))</f>
        <v>10</v>
      </c>
      <c r="E6" s="48" cm="1">
        <f t="array" ref="E6">SUMPRODUCT((株式ポートフォリオ!$C$8:$C$300&lt;&gt;"")*(IFERROR(VALUE(SUBSTITUTE(LEFT(株式ポートフォリオ!$E$8:$E$300,5),".",""))&gt;=VALUE(TEXT(B6,"mmdd")),0))*(IFERROR(VALUE(SUBSTITUTE(LEFT(株式ポートフォリオ!$E$8:$E$300,5),".",""))&lt;=VALUE(TEXT(C6,"mmdd")),0))*(株式ポートフォリオ!$M$8:$M$300&gt;0))</f>
        <v>10</v>
      </c>
      <c r="F6" s="48">
        <f>D6-E6</f>
        <v>0</v>
      </c>
      <c r="G6" s="47">
        <f>IFERROR(E6/D6*100,0)</f>
        <v>100</v>
      </c>
      <c r="H6" s="59" cm="1">
        <f t="array" ref="H6">SUMPRODUCT((株式ポートフォリオ!$C$8:$C$300&lt;&gt;"")*IFERROR(VALUE(SUBSTITUTE(LEFT(株式ポートフォリオ!$E$8:$E$300,5),".",""))&gt;=VALUE(TEXT(B6,"mmdd")),0)*IFERROR(VALUE(SUBSTITUTE(LEFT(株式ポートフォリオ!$E$8:$E$300,5),".",""))&lt;=VALUE(TEXT(C6,"mmdd")),0)*(株式ポートフォリオ!$M$8:$M$300))</f>
        <v>67660</v>
      </c>
      <c r="I6" s="59">
        <f>IFERROR(H6/D6,0)</f>
        <v>6766</v>
      </c>
      <c r="J6" s="47" cm="1">
        <f t="array" ref="J6">IFERROR(SUMPRODUCT((課題と反省!$C$2:$C$102&lt;&gt;"[今日の総括]")*(課題と反省!$B$2:$B$102&lt;&gt;"")*IFERROR(VALUE(SUBSTITUTE(LEFT(課題と反省!$B$2:$B$102,5),".",""))&gt;=VALUE(TEXT(B6,"mmdd")),0)*IFERROR(VALUE(SUBSTITUTE(LEFT(課題と反省!$B$2:$B$102,5),".",""))&lt;=VALUE(TEXT(C6,"mmdd")),0)*IFERROR(課題と反省!$F$2:$F$102,0))/SUMPRODUCT((課題と反省!$C$2:$C$102&lt;&gt;"[今日の総括]")*(課題と反省!$B$2:$B$102&lt;&gt;"")*IFERROR(VALUE(SUBSTITUTE(LEFT(課題と反省!$B$2:$B$102,5),".",""))&gt;=VALUE(TEXT(B6,"mmdd")),0)*IFERROR(VALUE(SUBSTITUTE(LEFT(課題と反省!$B$2:$B$102,5),".",""))&lt;=VALUE(TEXT(C6,"mmdd")),0)*(課題と反省!$F$2:$F$102&lt;&gt;"")),0)</f>
        <v>3.7777777777777777</v>
      </c>
      <c r="K6" s="47" cm="1">
        <f t="array" ref="K6">IFERROR(SUMPRODUCT((課題と反省!$C$2:$C$102&lt;&gt;"[今日の総括]")*(課題と反省!$B$2:$B$102&lt;&gt;"")*IFERROR(VALUE(SUBSTITUTE(LEFT(課題と反省!$B$2:$B$102,5),".",""))&gt;=VALUE(TEXT(B6,"mmdd")),0)*IFERROR(VALUE(SUBSTITUTE(LEFT(課題と反省!$B$2:$B$102,5),".",""))&lt;=VALUE(TEXT(C6,"mmdd")),0)*(課題と反省!$G$2:$G$102="Y"))/SUMPRODUCT((課題と反省!$C$2:$C$102&lt;&gt;"[今日の総括]")*(課題と反省!$B$2:$B$102&lt;&gt;"")*IFERROR(VALUE(SUBSTITUTE(LEFT(課題と反省!$B$2:$B$102,5),".",""))&gt;=VALUE(TEXT(B6,"mmdd")),0)*IFERROR(VALUE(SUBSTITUTE(LEFT(課題と反省!$B$2:$B$102,5),".",""))&lt;=VALUE(TEXT(C6,"mmdd")),0))*100,0)</f>
        <v>50</v>
      </c>
      <c r="L6" s="46"/>
    </row>
    <row r="7" spans="1:15" x14ac:dyDescent="0.15">
      <c r="A7" s="51" t="s">
        <v>1144</v>
      </c>
      <c r="B7" s="49">
        <f>B6+7</f>
        <v>46062</v>
      </c>
      <c r="C7" s="49">
        <f>B7+4</f>
        <v>46066</v>
      </c>
      <c r="D7" s="48" cm="1">
        <f t="array" ref="D7">SUMPRODUCT((株式ポートフォリオ!$C$8:$C$300&lt;&gt;"")*(IFERROR(VALUE(SUBSTITUTE(LEFT(株式ポートフォリオ!$E$8:$E$300,5),".",""))&gt;=VALUE(TEXT(B7,"mmdd")),0))*(IFERROR(VALUE(SUBSTITUTE(LEFT(株式ポートフォリオ!$E$8:$E$300,5),".",""))&lt;=VALUE(TEXT(C7,"mmdd")),0)))</f>
        <v>12</v>
      </c>
      <c r="E7" s="48" cm="1">
        <f t="array" ref="E7">SUMPRODUCT((株式ポートフォリオ!$C$8:$C$300&lt;&gt;"")*(IFERROR(VALUE(SUBSTITUTE(LEFT(株式ポートフォリオ!$E$8:$E$300,5),".",""))&gt;=VALUE(TEXT(B7,"mmdd")),0))*(IFERROR(VALUE(SUBSTITUTE(LEFT(株式ポートフォリオ!$E$8:$E$300,5),".",""))&lt;=VALUE(TEXT(C7,"mmdd")),0))*(株式ポートフォリオ!$M$8:$M$300&gt;0))</f>
        <v>10</v>
      </c>
      <c r="F7" s="48">
        <f t="shared" ref="F7:F10" si="0">D7-E7</f>
        <v>2</v>
      </c>
      <c r="G7" s="47">
        <f t="shared" ref="G7:G10" si="1">IFERROR(E7/D7*100,0)</f>
        <v>83.333333333333343</v>
      </c>
      <c r="H7" s="59" cm="1">
        <f t="array" ref="H7">SUMPRODUCT((株式ポートフォリオ!$C$8:$C$300&lt;&gt;"")*IFERROR(VALUE(SUBSTITUTE(LEFT(株式ポートフォリオ!$E$8:$E$300,5),".",""))&gt;=VALUE(TEXT(B7,"mmdd")),0)*IFERROR(VALUE(SUBSTITUTE(LEFT(株式ポートフォリオ!$E$8:$E$300,5),".",""))&lt;=VALUE(TEXT(C7,"mmdd")),0)*(株式ポートフォリオ!$M$8:$M$300))</f>
        <v>103630</v>
      </c>
      <c r="I7" s="59">
        <f t="shared" ref="I7:I10" si="2">IFERROR(H7/D7,0)</f>
        <v>8635.8333333333339</v>
      </c>
      <c r="J7" s="47" cm="1">
        <f t="array" ref="J7">IFERROR(SUMPRODUCT((課題と反省!$C$2:$C$102&lt;&gt;"[今日の総括]")*(課題と反省!$B$2:$B$102&lt;&gt;"")*IFERROR(VALUE(SUBSTITUTE(LEFT(課題と反省!$B$2:$B$102,5),".",""))&gt;=VALUE(TEXT(B7,"mmdd")),0)*IFERROR(VALUE(SUBSTITUTE(LEFT(課題と反省!$B$2:$B$102,5),".",""))&lt;=VALUE(TEXT(C7,"mmdd")),0)*IFERROR(課題と反省!$F$2:$F$102,0))/SUMPRODUCT((課題と反省!$C$2:$C$102&lt;&gt;"[今日の総括]")*(課題と反省!$B$2:$B$102&lt;&gt;"")*IFERROR(VALUE(SUBSTITUTE(LEFT(課題と反省!$B$2:$B$102,5),".",""))&gt;=VALUE(TEXT(B7,"mmdd")),0)*IFERROR(VALUE(SUBSTITUTE(LEFT(課題と反省!$B$2:$B$102,5),".",""))&lt;=VALUE(TEXT(C7,"mmdd")),0)*(課題と反省!$F$2:$F$102&lt;&gt;"")),0)</f>
        <v>2.8333333333333335</v>
      </c>
      <c r="K7" s="47" cm="1">
        <f t="array" ref="K7">IFERROR(SUMPRODUCT((課題と反省!$C$2:$C$102&lt;&gt;"[今日の総括]")*(課題と反省!$B$2:$B$102&lt;&gt;"")*IFERROR(VALUE(SUBSTITUTE(LEFT(課題と反省!$B$2:$B$102,5),".",""))&gt;=VALUE(TEXT(B7,"mmdd")),0)*IFERROR(VALUE(SUBSTITUTE(LEFT(課題と反省!$B$2:$B$102,5),".",""))&lt;=VALUE(TEXT(C7,"mmdd")),0)*(課題と反省!$G$2:$G$102="Y"))/SUMPRODUCT((課題と反省!$C$2:$C$102&lt;&gt;"[今日の総括]")*(課題と反省!$B$2:$B$102&lt;&gt;"")*IFERROR(VALUE(SUBSTITUTE(LEFT(課題と反省!$B$2:$B$102,5),".",""))&gt;=VALUE(TEXT(B7,"mmdd")),0)*IFERROR(VALUE(SUBSTITUTE(LEFT(課題と反省!$B$2:$B$102,5),".",""))&lt;=VALUE(TEXT(C7,"mmdd")),0))*100,0)</f>
        <v>50</v>
      </c>
      <c r="L7" s="46"/>
    </row>
    <row r="8" spans="1:15" x14ac:dyDescent="0.15">
      <c r="A8" s="51" t="s">
        <v>1143</v>
      </c>
      <c r="B8" s="49">
        <f>B7+7</f>
        <v>46069</v>
      </c>
      <c r="C8" s="49">
        <f>B8+4</f>
        <v>46073</v>
      </c>
      <c r="D8" s="48" cm="1">
        <f t="array" ref="D8">SUMPRODUCT((株式ポートフォリオ!$C$8:$C$300&lt;&gt;"")*(IFERROR(VALUE(SUBSTITUTE(LEFT(株式ポートフォリオ!$E$8:$E$300,5),".",""))&gt;=VALUE(TEXT(B8,"mmdd")),0))*(IFERROR(VALUE(SUBSTITUTE(LEFT(株式ポートフォリオ!$E$8:$E$300,5),".",""))&lt;=VALUE(TEXT(C8,"mmdd")),0)))</f>
        <v>7</v>
      </c>
      <c r="E8" s="48" cm="1">
        <f t="array" ref="E8">SUMPRODUCT((株式ポートフォリオ!$C$8:$C$300&lt;&gt;"")*(IFERROR(VALUE(SUBSTITUTE(LEFT(株式ポートフォリオ!$E$8:$E$300,5),".",""))&gt;=VALUE(TEXT(B8,"mmdd")),0))*(IFERROR(VALUE(SUBSTITUTE(LEFT(株式ポートフォリオ!$E$8:$E$300,5),".",""))&lt;=VALUE(TEXT(C8,"mmdd")),0))*(株式ポートフォリオ!$M$8:$M$300&gt;0))</f>
        <v>5</v>
      </c>
      <c r="F8" s="48">
        <f t="shared" si="0"/>
        <v>2</v>
      </c>
      <c r="G8" s="47">
        <f t="shared" si="1"/>
        <v>71.428571428571431</v>
      </c>
      <c r="H8" s="59" cm="1">
        <f t="array" ref="H8">SUMPRODUCT((株式ポートフォリオ!$C$8:$C$300&lt;&gt;"")*IFERROR(VALUE(SUBSTITUTE(LEFT(株式ポートフォリオ!$E$8:$E$300,5),".",""))&gt;=VALUE(TEXT(B8,"mmdd")),0)*IFERROR(VALUE(SUBSTITUTE(LEFT(株式ポートフォリオ!$E$8:$E$300,5),".",""))&lt;=VALUE(TEXT(C8,"mmdd")),0)*(株式ポートフォリオ!$M$8:$M$300))</f>
        <v>35870</v>
      </c>
      <c r="I8" s="59">
        <f t="shared" si="2"/>
        <v>5124.2857142857147</v>
      </c>
      <c r="J8" s="47" cm="1">
        <f t="array" ref="J8">IFERROR(SUMPRODUCT((課題と反省!$C$2:$C$102&lt;&gt;"[今日の総括]")*(課題と反省!$B$2:$B$102&lt;&gt;"")*IFERROR(VALUE(SUBSTITUTE(LEFT(課題と反省!$B$2:$B$102,5),".",""))&gt;=VALUE(TEXT(B8,"mmdd")),0)*IFERROR(VALUE(SUBSTITUTE(LEFT(課題と反省!$B$2:$B$102,5),".",""))&lt;=VALUE(TEXT(C8,"mmdd")),0)*IFERROR(課題と反省!$F$2:$F$102,0))/SUMPRODUCT((課題と反省!$C$2:$C$102&lt;&gt;"[今日の総括]")*(課題と反省!$B$2:$B$102&lt;&gt;"")*IFERROR(VALUE(SUBSTITUTE(LEFT(課題と反省!$B$2:$B$102,5),".",""))&gt;=VALUE(TEXT(B8,"mmdd")),0)*IFERROR(VALUE(SUBSTITUTE(LEFT(課題と反省!$B$2:$B$102,5),".",""))&lt;=VALUE(TEXT(C8,"mmdd")),0)*(課題と反省!$F$2:$F$102&lt;&gt;"")),0)</f>
        <v>2.5714285714285716</v>
      </c>
      <c r="K8" s="47" cm="1">
        <f t="array" ref="K8">IFERROR(SUMPRODUCT((課題と反省!$C$2:$C$102&lt;&gt;"[今日の総括]")*(課題と反省!$B$2:$B$102&lt;&gt;"")*IFERROR(VALUE(SUBSTITUTE(LEFT(課題と反省!$B$2:$B$102,5),".",""))&gt;=VALUE(TEXT(B8,"mmdd")),0)*IFERROR(VALUE(SUBSTITUTE(LEFT(課題と反省!$B$2:$B$102,5),".",""))&lt;=VALUE(TEXT(C8,"mmdd")),0)*(課題と反省!$G$2:$G$102="Y"))/SUMPRODUCT((課題と反省!$C$2:$C$102&lt;&gt;"[今日の総括]")*(課題と反省!$B$2:$B$102&lt;&gt;"")*IFERROR(VALUE(SUBSTITUTE(LEFT(課題と反省!$B$2:$B$102,5),".",""))&gt;=VALUE(TEXT(B8,"mmdd")),0)*IFERROR(VALUE(SUBSTITUTE(LEFT(課題と反省!$B$2:$B$102,5),".",""))&lt;=VALUE(TEXT(C8,"mmdd")),0))*100,0)</f>
        <v>42.857142857142854</v>
      </c>
      <c r="L8" s="46"/>
    </row>
    <row r="9" spans="1:15" x14ac:dyDescent="0.15">
      <c r="A9" s="51" t="s">
        <v>1142</v>
      </c>
      <c r="B9" s="49">
        <f>B8+7</f>
        <v>46076</v>
      </c>
      <c r="C9" s="49">
        <f>B9+4</f>
        <v>46080</v>
      </c>
      <c r="D9" s="48" cm="1">
        <f t="array" ref="D9">SUMPRODUCT((株式ポートフォリオ!$C$8:$C$300&lt;&gt;"")*(IFERROR(VALUE(SUBSTITUTE(LEFT(株式ポートフォリオ!$E$8:$E$300,5),".",""))&gt;=VALUE(TEXT(B9,"mmdd")),0))*(IFERROR(VALUE(SUBSTITUTE(LEFT(株式ポートフォリオ!$E$8:$E$300,5),".",""))&lt;=VALUE(TEXT(C9,"mmdd")),0)))</f>
        <v>0</v>
      </c>
      <c r="E9" s="48" cm="1">
        <f t="array" ref="E9">SUMPRODUCT((株式ポートフォリオ!$C$8:$C$300&lt;&gt;"")*(IFERROR(VALUE(SUBSTITUTE(LEFT(株式ポートフォリオ!$E$8:$E$300,5),".",""))&gt;=VALUE(TEXT(B9,"mmdd")),0))*(IFERROR(VALUE(SUBSTITUTE(LEFT(株式ポートフォリオ!$E$8:$E$300,5),".",""))&lt;=VALUE(TEXT(C9,"mmdd")),0))*(株式ポートフォリオ!$M$8:$M$300&gt;0))</f>
        <v>0</v>
      </c>
      <c r="F9" s="48">
        <f t="shared" si="0"/>
        <v>0</v>
      </c>
      <c r="G9" s="47">
        <f t="shared" si="1"/>
        <v>0</v>
      </c>
      <c r="H9" s="59" cm="1">
        <f t="array" ref="H9">SUMPRODUCT((株式ポートフォリオ!$C$8:$C$300&lt;&gt;"")*IFERROR(VALUE(SUBSTITUTE(LEFT(株式ポートフォリオ!$E$8:$E$300,5),".",""))&gt;=VALUE(TEXT(B9,"mmdd")),0)*IFERROR(VALUE(SUBSTITUTE(LEFT(株式ポートフォリオ!$E$8:$E$300,5),".",""))&lt;=VALUE(TEXT(C9,"mmdd")),0)*(株式ポートフォリオ!$M$8:$M$300))</f>
        <v>0</v>
      </c>
      <c r="I9" s="59">
        <f t="shared" si="2"/>
        <v>0</v>
      </c>
      <c r="J9" s="47" cm="1">
        <f t="array" ref="J9">IFERROR(SUMPRODUCT((課題と反省!$C$2:$C$102&lt;&gt;"[今日の総括]")*(課題と反省!$B$2:$B$102&lt;&gt;"")*IFERROR(VALUE(SUBSTITUTE(LEFT(課題と反省!$B$2:$B$102,5),".",""))&gt;=VALUE(TEXT(B9,"mmdd")),0)*IFERROR(VALUE(SUBSTITUTE(LEFT(課題と反省!$B$2:$B$102,5),".",""))&lt;=VALUE(TEXT(C9,"mmdd")),0)*IFERROR(課題と反省!$F$2:$F$102,0))/SUMPRODUCT((課題と反省!$C$2:$C$102&lt;&gt;"[今日の総括]")*(課題と反省!$B$2:$B$102&lt;&gt;"")*IFERROR(VALUE(SUBSTITUTE(LEFT(課題と反省!$B$2:$B$102,5),".",""))&gt;=VALUE(TEXT(B9,"mmdd")),0)*IFERROR(VALUE(SUBSTITUTE(LEFT(課題と反省!$B$2:$B$102,5),".",""))&lt;=VALUE(TEXT(C9,"mmdd")),0)*(課題と反省!$F$2:$F$102&lt;&gt;"")),0)</f>
        <v>0</v>
      </c>
      <c r="K9" s="47" cm="1">
        <f t="array" ref="K9">IFERROR(SUMPRODUCT((課題と反省!$C$2:$C$102&lt;&gt;"[今日の総括]")*(課題と反省!$B$2:$B$102&lt;&gt;"")*IFERROR(VALUE(SUBSTITUTE(LEFT(課題と反省!$B$2:$B$102,5),".",""))&gt;=VALUE(TEXT(B9,"mmdd")),0)*IFERROR(VALUE(SUBSTITUTE(LEFT(課題と反省!$B$2:$B$102,5),".",""))&lt;=VALUE(TEXT(C9,"mmdd")),0)*(課題と反省!$G$2:$G$102="Y"))/SUMPRODUCT((課題と反省!$C$2:$C$102&lt;&gt;"[今日の総括]")*(課題と反省!$B$2:$B$102&lt;&gt;"")*IFERROR(VALUE(SUBSTITUTE(LEFT(課題と反省!$B$2:$B$102,5),".",""))&gt;=VALUE(TEXT(B9,"mmdd")),0)*IFERROR(VALUE(SUBSTITUTE(LEFT(課題と反省!$B$2:$B$102,5),".",""))&lt;=VALUE(TEXT(C9,"mmdd")),0))*100,0)</f>
        <v>0</v>
      </c>
      <c r="L9" s="46"/>
    </row>
    <row r="10" spans="1:15" x14ac:dyDescent="0.15">
      <c r="A10" s="51" t="s">
        <v>1161</v>
      </c>
      <c r="B10" s="49" t="str">
        <f>IF(MONTH(B9+7)=$N$4,B9+7,"")</f>
        <v/>
      </c>
      <c r="C10" s="49" t="str">
        <f>IF(B10&lt;&gt;"",B10+4,"")</f>
        <v/>
      </c>
      <c r="D10" s="48" cm="1">
        <f t="array" ref="D10">SUMPRODUCT((株式ポートフォリオ!$C$8:$C$300&lt;&gt;"")*(IFERROR(VALUE(SUBSTITUTE(LEFT(株式ポートフォリオ!$E$8:$E$300,5),".",""))&gt;=VALUE(TEXT(B10,"mmdd")),0))*(IFERROR(VALUE(SUBSTITUTE(LEFT(株式ポートフォリオ!$E$8:$E$300,5),".",""))&lt;=VALUE(TEXT(C10,"mmdd")),0)))</f>
        <v>0</v>
      </c>
      <c r="E10" s="48" cm="1">
        <f t="array" ref="E10">SUMPRODUCT((株式ポートフォリオ!$C$8:$C$300&lt;&gt;"")*(IFERROR(VALUE(SUBSTITUTE(LEFT(株式ポートフォリオ!$E$8:$E$300,5),".",""))&gt;=VALUE(TEXT(B10,"mmdd")),0))*(IFERROR(VALUE(SUBSTITUTE(LEFT(株式ポートフォリオ!$E$8:$E$300,5),".",""))&lt;=VALUE(TEXT(C10,"mmdd")),0))*(株式ポートフォリオ!$M$8:$M$300&gt;0))</f>
        <v>0</v>
      </c>
      <c r="F10" s="48">
        <f t="shared" si="0"/>
        <v>0</v>
      </c>
      <c r="G10" s="47">
        <f t="shared" si="1"/>
        <v>0</v>
      </c>
      <c r="H10" s="59" cm="1">
        <f t="array" ref="H10">SUMPRODUCT((株式ポートフォリオ!$C$8:$C$300&lt;&gt;"")*IFERROR(VALUE(SUBSTITUTE(LEFT(株式ポートフォリオ!$E$8:$E$300,5),".",""))&gt;=VALUE(TEXT(B10,"mmdd")),0)*IFERROR(VALUE(SUBSTITUTE(LEFT(株式ポートフォリオ!$E$8:$E$300,5),".",""))&lt;=VALUE(TEXT(C10,"mmdd")),0)*(株式ポートフォリオ!$M$8:$M$300))</f>
        <v>0</v>
      </c>
      <c r="I10" s="59">
        <f t="shared" si="2"/>
        <v>0</v>
      </c>
      <c r="J10" s="47" cm="1">
        <f t="array" ref="J10">IFERROR(SUMPRODUCT((課題と反省!$C$2:$C$102&lt;&gt;"[今日の総括]")*(課題と反省!$B$2:$B$102&lt;&gt;"")*IFERROR(VALUE(SUBSTITUTE(LEFT(課題と反省!$B$2:$B$102,5),".",""))&gt;=VALUE(TEXT(B10,"mmdd")),0)*IFERROR(VALUE(SUBSTITUTE(LEFT(課題と反省!$B$2:$B$102,5),".",""))&lt;=VALUE(TEXT(C10,"mmdd")),0)*IFERROR(課題と反省!$F$2:$F$102,0))/SUMPRODUCT((課題と反省!$C$2:$C$102&lt;&gt;"[今日の総括]")*(課題と反省!$B$2:$B$102&lt;&gt;"")*IFERROR(VALUE(SUBSTITUTE(LEFT(課題と反省!$B$2:$B$102,5),".",""))&gt;=VALUE(TEXT(B10,"mmdd")),0)*IFERROR(VALUE(SUBSTITUTE(LEFT(課題と反省!$B$2:$B$102,5),".",""))&lt;=VALUE(TEXT(C10,"mmdd")),0)*(課題と反省!$F$2:$F$102&lt;&gt;"")),0)</f>
        <v>0</v>
      </c>
      <c r="K10" s="47" cm="1">
        <f t="array" ref="K10">IFERROR(SUMPRODUCT((課題と反省!$C$2:$C$102&lt;&gt;"[今日の総括]")*(課題と反省!$B$2:$B$102&lt;&gt;"")*IFERROR(VALUE(SUBSTITUTE(LEFT(課題と反省!$B$2:$B$102,5),".",""))&gt;=VALUE(TEXT(B10,"mmdd")),0)*IFERROR(VALUE(SUBSTITUTE(LEFT(課題と反省!$B$2:$B$102,5),".",""))&lt;=VALUE(TEXT(C10,"mmdd")),0)*(課題と反省!$G$2:$G$102="Y"))/SUMPRODUCT((課題と反省!$C$2:$C$102&lt;&gt;"[今日の総括]")*(課題と反省!$B$2:$B$102&lt;&gt;"")*IFERROR(VALUE(SUBSTITUTE(LEFT(課題と反省!$B$2:$B$102,5),".",""))&gt;=VALUE(TEXT(B10,"mmdd")),0)*IFERROR(VALUE(SUBSTITUTE(LEFT(課題と反省!$B$2:$B$102,5),".",""))&lt;=VALUE(TEXT(C10,"mmdd")),0))*100,0)</f>
        <v>0</v>
      </c>
      <c r="L10" s="46"/>
    </row>
    <row r="12" spans="1:15" ht="19.5" x14ac:dyDescent="0.45">
      <c r="A12" s="104" t="s">
        <v>1154</v>
      </c>
      <c r="B12" s="102"/>
      <c r="C12" s="102"/>
      <c r="D12" s="102"/>
      <c r="E12" s="102"/>
      <c r="F12" s="102"/>
      <c r="G12" s="102"/>
      <c r="H12" s="102"/>
      <c r="I12" s="102"/>
      <c r="J12" s="102"/>
      <c r="K12" s="102"/>
    </row>
    <row r="13" spans="1:15" ht="18.75" x14ac:dyDescent="0.15">
      <c r="A13" s="50" t="s">
        <v>17</v>
      </c>
      <c r="B13" s="50" t="s">
        <v>1141</v>
      </c>
      <c r="C13" s="50" t="s">
        <v>1140</v>
      </c>
      <c r="D13" s="50" t="s">
        <v>1139</v>
      </c>
      <c r="E13" s="50" t="s">
        <v>1138</v>
      </c>
      <c r="F13" s="50" t="s">
        <v>1137</v>
      </c>
      <c r="G13" s="50" t="s">
        <v>1136</v>
      </c>
      <c r="H13" s="50" t="s">
        <v>1135</v>
      </c>
      <c r="I13" s="50" t="s">
        <v>1134</v>
      </c>
      <c r="J13" s="50" t="s">
        <v>1133</v>
      </c>
      <c r="K13" s="50" t="s">
        <v>1132</v>
      </c>
    </row>
    <row r="14" spans="1:15" x14ac:dyDescent="0.15">
      <c r="A14" s="49">
        <f>_xlfn.LET(_xlpm.営業日数,INT((ROW()-14)*5/7),_xlpm.開始日,$B$6,_xlpm.計算日,WORKDAY(_xlpm.開始日,_xlpm.営業日数),IF(MONTH(_xlpm.計算日)=$N$4,_xlpm.計算日,""))</f>
        <v>46055</v>
      </c>
      <c r="B14" s="48" t="str">
        <f t="shared" ref="B14:B39" si="3">TEXT(A14,"aaa")</f>
        <v>月</v>
      </c>
      <c r="C14" s="48" cm="1">
        <f t="array" ref="C14">SUMPRODUCT((株式ポートフォリオ!$C$8:$C$300&lt;&gt;"")*IFERROR(VALUE(SUBSTITUTE(LEFT(株式ポートフォリオ!$E$8:$E$300,5),".",""))=VALUE(TEXT(A14,"mmdd")),0))</f>
        <v>1</v>
      </c>
      <c r="D14" s="48" cm="1">
        <f t="array" ref="D14">SUMPRODUCT((株式ポートフォリオ!$C$8:$C$300&lt;&gt;"")*IFERROR(LEFT(株式ポートフォリオ!$E$8:$E$300,5)=TEXT(A14,"mm.dd"),0)*(株式ポートフォリオ!$M$8:$M$300&gt;0))</f>
        <v>1</v>
      </c>
      <c r="E14" s="48">
        <f t="shared" ref="E14:E39" si="4">C14-D14</f>
        <v>0</v>
      </c>
      <c r="F14" s="47" cm="1">
        <f t="array" ref="F14">IFERROR(SUMPRODUCT((株式ポートフォリオ!$C$8:$C$300&lt;&gt;"")*IFERROR(LEFT(株式ポートフォリオ!$E$8:$E$300,5)=TEXT(A14,"mm.dd"),0)*(株式ポートフォリオ!$M$8:$M$300&gt;0))/SUMPRODUCT((株式ポートフォリオ!$C$8:$C$300&lt;&gt;"")*IFERROR(LEFT(株式ポートフォリオ!$E$8:$E$300,5)=TEXT(A14,"mm.dd"),0))*100,0)</f>
        <v>100</v>
      </c>
      <c r="G14" s="59" cm="1">
        <f t="array" ref="G14">SUMPRODUCT((株式ポートフォリオ!$C$8:$C$300&lt;&gt;"")*IFERROR(LEFT(株式ポートフォリオ!$E$8:$E$300,5)=TEXT(A14,"mm.dd"),0)*(株式ポートフォリオ!$M$8:$M$300))</f>
        <v>2000</v>
      </c>
      <c r="H14" s="47" cm="1">
        <f t="array" ref="H14">IFERROR(SUMPRODUCT((課題と反省!$C$2:$C$102&lt;&gt;"[今日の総括]")*(課題と反省!$B$2:$B$102&lt;&gt;"")*IFERROR(LEFT(課題と反省!$B$2:$B$102,5)=TEXT(A14,"mm.dd"),0)*IFERROR(課題と反省!$F$2:$F$102,0))/SUMPRODUCT((課題と反省!$C$2:$C$102&lt;&gt;"[今日の総括]")*(課題と反省!$B$2:$B$102&lt;&gt;"")*IFERROR(LEFT(課題と反省!$B$2:$B$102,5)=TEXT(A14,"mm.dd"),0)*(課題と反省!$F$2:$F$102&lt;&gt;"")),0)</f>
        <v>3</v>
      </c>
      <c r="I14" s="47">
        <f>IFERROR(COUNTIFS(課題と反省!$B$2:$B$102,TEXT(A14,"mm.dd")&amp;"*",課題と反省!$G$2:$G$102,"Y",課題と反省!$C$2:$C$102,"&lt;&gt;[今日の総括]")/COUNTIFS(課題と反省!$B$2:$B$102,TEXT(A14,"mm.dd")&amp;"*",課題と反省!$C$2:$C$102,"&lt;&gt;[今日の総括]")*100,0)</f>
        <v>100</v>
      </c>
      <c r="J14" s="46"/>
      <c r="K14" s="46"/>
    </row>
    <row r="15" spans="1:15" x14ac:dyDescent="0.15">
      <c r="A15" s="49">
        <f t="shared" ref="A15:A39" si="5">IF(AND(MONTH($B$6+ROW()-14)=$N$4,WEEKDAY($B$6+ROW()-14,2)&lt;=5),$B$6+ROW()-14,"")</f>
        <v>46056</v>
      </c>
      <c r="B15" s="48" t="str">
        <f t="shared" si="3"/>
        <v>火</v>
      </c>
      <c r="C15" s="48" cm="1">
        <f t="array" ref="C15">SUMPRODUCT((株式ポートフォリオ!$C$8:$C$300&lt;&gt;"")*IFERROR(VALUE(SUBSTITUTE(LEFT(株式ポートフォリオ!$E$8:$E$300,5),".",""))=VALUE(TEXT(A15,"mmdd")),0))</f>
        <v>2</v>
      </c>
      <c r="D15" s="48" cm="1">
        <f t="array" ref="D15">SUMPRODUCT((株式ポートフォリオ!$C$8:$C$300&lt;&gt;"")*IFERROR(LEFT(株式ポートフォリオ!$E$8:$E$300,5)=TEXT(A15,"mm.dd"),0)*(株式ポートフォリオ!$M$8:$M$300&gt;0))</f>
        <v>2</v>
      </c>
      <c r="E15" s="48">
        <f t="shared" si="4"/>
        <v>0</v>
      </c>
      <c r="F15" s="47" cm="1">
        <f t="array" ref="F15">IFERROR(SUMPRODUCT((株式ポートフォリオ!$C$8:$C$300&lt;&gt;"")*IFERROR(LEFT(株式ポートフォリオ!$E$8:$E$300,5)=TEXT(A15,"mm.dd"),0)*(株式ポートフォリオ!$M$8:$M$300&gt;0))/SUMPRODUCT((株式ポートフォリオ!$C$8:$C$300&lt;&gt;"")*IFERROR(LEFT(株式ポートフォリオ!$E$8:$E$300,5)=TEXT(A15,"mm.dd"),0))*100,0)</f>
        <v>100</v>
      </c>
      <c r="G15" s="59" cm="1">
        <f t="array" ref="G15">SUMPRODUCT((株式ポートフォリオ!$C$8:$C$300&lt;&gt;"")*IFERROR(LEFT(株式ポートフォリオ!$E$8:$E$300,5)=TEXT(A15,"mm.dd"),0)*(株式ポートフォリオ!$M$8:$M$300))</f>
        <v>17500</v>
      </c>
      <c r="H15" s="47" cm="1">
        <f t="array" ref="H15">IFERROR(SUMPRODUCT((課題と反省!$C$2:$C$102&lt;&gt;"[今日の総括]")*(課題と反省!$B$2:$B$102&lt;&gt;"")*IFERROR(LEFT(課題と反省!$B$2:$B$102,5)=TEXT(A15,"mm.dd"),0)*IFERROR(課題と反省!$F$2:$F$102,0))/SUMPRODUCT((課題と反省!$C$2:$C$102&lt;&gt;"[今日の総括]")*(課題と反省!$B$2:$B$102&lt;&gt;"")*IFERROR(LEFT(課題と反省!$B$2:$B$102,5)=TEXT(A15,"mm.dd"),0)*(課題と反省!$F$2:$F$102&lt;&gt;"")),0)</f>
        <v>2.5</v>
      </c>
      <c r="I15" s="47">
        <f>IFERROR(COUNTIFS(課題と反省!$B$2:$B$102,TEXT(A15,"mm.dd")&amp;"*",課題と反省!$G$2:$G$102,"Y",課題と反省!$C$2:$C$102,"&lt;&gt;[今日の総括]")/COUNTIFS(課題と反省!$B$2:$B$102,TEXT(A15,"mm.dd")&amp;"*",課題と反省!$C$2:$C$102,"&lt;&gt;[今日の総括]")*100,0)</f>
        <v>0</v>
      </c>
      <c r="J15" s="46"/>
      <c r="K15" s="46"/>
    </row>
    <row r="16" spans="1:15" x14ac:dyDescent="0.15">
      <c r="A16" s="49">
        <f t="shared" si="5"/>
        <v>46057</v>
      </c>
      <c r="B16" s="48" t="str">
        <f t="shared" si="3"/>
        <v>水</v>
      </c>
      <c r="C16" s="48" cm="1">
        <f t="array" ref="C16">SUMPRODUCT((株式ポートフォリオ!$C$8:$C$300&lt;&gt;"")*IFERROR(VALUE(SUBSTITUTE(LEFT(株式ポートフォリオ!$E$8:$E$300,5),".",""))=VALUE(TEXT(A16,"mmdd")),0))</f>
        <v>2</v>
      </c>
      <c r="D16" s="48" cm="1">
        <f t="array" ref="D16">SUMPRODUCT((株式ポートフォリオ!$C$8:$C$300&lt;&gt;"")*IFERROR(LEFT(株式ポートフォリオ!$E$8:$E$300,5)=TEXT(A16,"mm.dd"),0)*(株式ポートフォリオ!$M$8:$M$300&gt;0))</f>
        <v>2</v>
      </c>
      <c r="E16" s="48">
        <f t="shared" si="4"/>
        <v>0</v>
      </c>
      <c r="F16" s="47" cm="1">
        <f t="array" ref="F16">IFERROR(SUMPRODUCT((株式ポートフォリオ!$C$8:$C$300&lt;&gt;"")*IFERROR(LEFT(株式ポートフォリオ!$E$8:$E$300,5)=TEXT(A16,"mm.dd"),0)*(株式ポートフォリオ!$M$8:$M$300&gt;0))/SUMPRODUCT((株式ポートフォリオ!$C$8:$C$300&lt;&gt;"")*IFERROR(LEFT(株式ポートフォリオ!$E$8:$E$300,5)=TEXT(A16,"mm.dd"),0))*100,0)</f>
        <v>100</v>
      </c>
      <c r="G16" s="59" cm="1">
        <f t="array" ref="G16">SUMPRODUCT((株式ポートフォリオ!$C$8:$C$300&lt;&gt;"")*IFERROR(LEFT(株式ポートフォリオ!$E$8:$E$300,5)=TEXT(A16,"mm.dd"),0)*(株式ポートフォリオ!$M$8:$M$300))</f>
        <v>15560</v>
      </c>
      <c r="H16" s="47" cm="1">
        <f t="array" ref="H16">IFERROR(SUMPRODUCT((課題と反省!$C$2:$C$102&lt;&gt;"[今日の総括]")*(課題と反省!$B$2:$B$102&lt;&gt;"")*IFERROR(LEFT(課題と反省!$B$2:$B$102,5)=TEXT(A16,"mm.dd"),0)*IFERROR(課題と反省!$F$2:$F$102,0))/SUMPRODUCT((課題と反省!$C$2:$C$102&lt;&gt;"[今日の総括]")*(課題と反省!$B$2:$B$102&lt;&gt;"")*IFERROR(LEFT(課題と反省!$B$2:$B$102,5)=TEXT(A16,"mm.dd"),0)*(課題と反省!$F$2:$F$102&lt;&gt;"")),0)</f>
        <v>3</v>
      </c>
      <c r="I16" s="47">
        <f>IFERROR(COUNTIFS(課題と反省!$B$2:$B$102,TEXT(A16,"mm.dd")&amp;"*",課題と反省!$G$2:$G$102,"Y",課題と反省!$C$2:$C$102,"&lt;&gt;[今日の総括]")/COUNTIFS(課題と反省!$B$2:$B$102,TEXT(A16,"mm.dd")&amp;"*",課題と反省!$C$2:$C$102,"&lt;&gt;[今日の総括]")*100,0)</f>
        <v>0</v>
      </c>
      <c r="J16" s="46"/>
      <c r="K16" s="46"/>
    </row>
    <row r="17" spans="1:11" x14ac:dyDescent="0.15">
      <c r="A17" s="49">
        <f t="shared" si="5"/>
        <v>46058</v>
      </c>
      <c r="B17" s="48" t="str">
        <f t="shared" si="3"/>
        <v>木</v>
      </c>
      <c r="C17" s="48" cm="1">
        <f t="array" ref="C17">SUMPRODUCT((株式ポートフォリオ!$C$8:$C$300&lt;&gt;"")*IFERROR(VALUE(SUBSTITUTE(LEFT(株式ポートフォリオ!$E$8:$E$300,5),".",""))=VALUE(TEXT(A17,"mmdd")),0))</f>
        <v>2</v>
      </c>
      <c r="D17" s="48" cm="1">
        <f t="array" ref="D17">SUMPRODUCT((株式ポートフォリオ!$C$8:$C$300&lt;&gt;"")*IFERROR(LEFT(株式ポートフォリオ!$E$8:$E$300,5)=TEXT(A17,"mm.dd"),0)*(株式ポートフォリオ!$M$8:$M$300&gt;0))</f>
        <v>2</v>
      </c>
      <c r="E17" s="48">
        <f t="shared" si="4"/>
        <v>0</v>
      </c>
      <c r="F17" s="47" cm="1">
        <f t="array" ref="F17">IFERROR(SUMPRODUCT((株式ポートフォリオ!$C$8:$C$300&lt;&gt;"")*IFERROR(LEFT(株式ポートフォリオ!$E$8:$E$300,5)=TEXT(A17,"mm.dd"),0)*(株式ポートフォリオ!$M$8:$M$300&gt;0))/SUMPRODUCT((株式ポートフォリオ!$C$8:$C$300&lt;&gt;"")*IFERROR(LEFT(株式ポートフォリオ!$E$8:$E$300,5)=TEXT(A17,"mm.dd"),0))*100,0)</f>
        <v>100</v>
      </c>
      <c r="G17" s="59" cm="1">
        <f t="array" ref="G17">SUMPRODUCT((株式ポートフォリオ!$C$8:$C$300&lt;&gt;"")*IFERROR(LEFT(株式ポートフォリオ!$E$8:$E$300,5)=TEXT(A17,"mm.dd"),0)*(株式ポートフォリオ!$M$8:$M$300))</f>
        <v>18780</v>
      </c>
      <c r="H17" s="47" cm="1">
        <f t="array" ref="H17">IFERROR(SUMPRODUCT((課題と反省!$C$2:$C$102&lt;&gt;"[今日の総括]")*(課題と反省!$B$2:$B$102&lt;&gt;"")*IFERROR(LEFT(課題と反省!$B$2:$B$102,5)=TEXT(A17,"mm.dd"),0)*IFERROR(課題と反省!$F$2:$F$102,0))/SUMPRODUCT((課題と反省!$C$2:$C$102&lt;&gt;"[今日の総括]")*(課題と反省!$B$2:$B$102&lt;&gt;"")*IFERROR(LEFT(課題と反省!$B$2:$B$102,5)=TEXT(A17,"mm.dd"),0)*(課題と反省!$F$2:$F$102&lt;&gt;"")),0)</f>
        <v>5</v>
      </c>
      <c r="I17" s="47">
        <f>IFERROR(COUNTIFS(課題と反省!$B$2:$B$102,TEXT(A17,"mm.dd")&amp;"*",課題と反省!$G$2:$G$102,"Y",課題と反省!$C$2:$C$102,"&lt;&gt;[今日の総括]")/COUNTIFS(課題と反省!$B$2:$B$102,TEXT(A17,"mm.dd")&amp;"*",課題と反省!$C$2:$C$102,"&lt;&gt;[今日の総括]")*100,0)</f>
        <v>50</v>
      </c>
      <c r="J17" s="46"/>
      <c r="K17" s="46"/>
    </row>
    <row r="18" spans="1:11" x14ac:dyDescent="0.15">
      <c r="A18" s="49">
        <f t="shared" si="5"/>
        <v>46059</v>
      </c>
      <c r="B18" s="48" t="str">
        <f t="shared" si="3"/>
        <v>金</v>
      </c>
      <c r="C18" s="48" cm="1">
        <f t="array" ref="C18">SUMPRODUCT((株式ポートフォリオ!$C$8:$C$300&lt;&gt;"")*IFERROR(VALUE(SUBSTITUTE(LEFT(株式ポートフォリオ!$E$8:$E$300,5),".",""))=VALUE(TEXT(A18,"mmdd")),0))</f>
        <v>3</v>
      </c>
      <c r="D18" s="48" cm="1">
        <f t="array" ref="D18">SUMPRODUCT((株式ポートフォリオ!$C$8:$C$300&lt;&gt;"")*IFERROR(LEFT(株式ポートフォリオ!$E$8:$E$300,5)=TEXT(A18,"mm.dd"),0)*(株式ポートフォリオ!$M$8:$M$300&gt;0))</f>
        <v>3</v>
      </c>
      <c r="E18" s="48">
        <f t="shared" si="4"/>
        <v>0</v>
      </c>
      <c r="F18" s="47" cm="1">
        <f t="array" ref="F18">IFERROR(SUMPRODUCT((株式ポートフォリオ!$C$8:$C$300&lt;&gt;"")*IFERROR(LEFT(株式ポートフォリオ!$E$8:$E$300,5)=TEXT(A18,"mm.dd"),0)*(株式ポートフォリオ!$M$8:$M$300&gt;0))/SUMPRODUCT((株式ポートフォリオ!$C$8:$C$300&lt;&gt;"")*IFERROR(LEFT(株式ポートフォリオ!$E$8:$E$300,5)=TEXT(A18,"mm.dd"),0))*100,0)</f>
        <v>100</v>
      </c>
      <c r="G18" s="59" cm="1">
        <f t="array" ref="G18">SUMPRODUCT((株式ポートフォリオ!$C$8:$C$300&lt;&gt;"")*IFERROR(LEFT(株式ポートフォリオ!$E$8:$E$300,5)=TEXT(A18,"mm.dd"),0)*(株式ポートフォリオ!$M$8:$M$300))</f>
        <v>13820</v>
      </c>
      <c r="H18" s="47" cm="1">
        <f t="array" ref="H18">IFERROR(SUMPRODUCT((課題と反省!$C$2:$C$102&lt;&gt;"[今日の総括]")*(課題と反省!$B$2:$B$102&lt;&gt;"")*IFERROR(LEFT(課題と反省!$B$2:$B$102,5)=TEXT(A18,"mm.dd"),0)*IFERROR(課題と反省!$F$2:$F$102,0))/SUMPRODUCT((課題と反省!$C$2:$C$102&lt;&gt;"[今日の総括]")*(課題と反省!$B$2:$B$102&lt;&gt;"")*IFERROR(LEFT(課題と反省!$B$2:$B$102,5)=TEXT(A18,"mm.dd"),0)*(課題と反省!$F$2:$F$102&lt;&gt;"")),0)</f>
        <v>5</v>
      </c>
      <c r="I18" s="47">
        <f>IFERROR(COUNTIFS(課題と反省!$B$2:$B$102,TEXT(A18,"mm.dd")&amp;"*",課題と反省!$G$2:$G$102,"Y",課題と反省!$C$2:$C$102,"&lt;&gt;[今日の総括]")/COUNTIFS(課題と反省!$B$2:$B$102,TEXT(A18,"mm.dd")&amp;"*",課題と反省!$C$2:$C$102,"&lt;&gt;[今日の総括]")*100,0)</f>
        <v>100</v>
      </c>
      <c r="J18" s="46"/>
      <c r="K18" s="46"/>
    </row>
    <row r="19" spans="1:11" hidden="1" x14ac:dyDescent="0.15">
      <c r="A19" s="49" t="str">
        <f t="shared" si="5"/>
        <v/>
      </c>
      <c r="B19" s="48" t="str">
        <f t="shared" si="3"/>
        <v/>
      </c>
      <c r="C19" s="48" cm="1">
        <f t="array" ref="C19">SUMPRODUCT((株式ポートフォリオ!$C$8:$C$300&lt;&gt;"")*IFERROR(VALUE(SUBSTITUTE(LEFT(株式ポートフォリオ!$E$8:$E$300,5),".",""))=VALUE(TEXT(A19,"mmdd")),0))</f>
        <v>0</v>
      </c>
      <c r="D19" s="48" cm="1">
        <f t="array" ref="D19">SUMPRODUCT((株式ポートフォリオ!$C$8:$C$300&lt;&gt;"")*IFERROR(LEFT(株式ポートフォリオ!$E$8:$E$300,5)=TEXT(A19,"mm.dd"),0)*(株式ポートフォリオ!$M$8:$M$300&gt;0))</f>
        <v>0</v>
      </c>
      <c r="E19" s="48">
        <f t="shared" si="4"/>
        <v>0</v>
      </c>
      <c r="F19" s="47" cm="1">
        <f t="array" ref="F19">IFERROR(SUMPRODUCT((株式ポートフォリオ!$C$8:$C$300&lt;&gt;"")*IFERROR(LEFT(株式ポートフォリオ!$E$8:$E$300,5)=TEXT(A19,"mm.dd"),0)*(株式ポートフォリオ!$M$8:$M$300&gt;0))/SUMPRODUCT((株式ポートフォリオ!$C$8:$C$300&lt;&gt;"")*IFERROR(LEFT(株式ポートフォリオ!$E$8:$E$300,5)=TEXT(A19,"mm.dd"),0))*100,0)</f>
        <v>0</v>
      </c>
      <c r="G19" s="59" cm="1">
        <f t="array" ref="G19">SUMPRODUCT((株式ポートフォリオ!$C$8:$C$300&lt;&gt;"")*IFERROR(LEFT(株式ポートフォリオ!$E$8:$E$300,5)=TEXT(A19,"mm.dd"),0)*(株式ポートフォリオ!$M$8:$M$300))</f>
        <v>0</v>
      </c>
      <c r="H19" s="47" cm="1">
        <f t="array" ref="H19">IFERROR(SUMPRODUCT((課題と反省!$C$2:$C$102&lt;&gt;"[今日の総括]")*(課題と反省!$B$2:$B$102&lt;&gt;"")*IFERROR(LEFT(課題と反省!$B$2:$B$102,5)=TEXT(A19,"mm.dd"),0)*IFERROR(課題と反省!$F$2:$F$102,0))/SUMPRODUCT((課題と反省!$C$2:$C$102&lt;&gt;"[今日の総括]")*(課題と反省!$B$2:$B$102&lt;&gt;"")*IFERROR(LEFT(課題と反省!$B$2:$B$102,5)=TEXT(A19,"mm.dd"),0)*(課題と反省!$F$2:$F$102&lt;&gt;"")),0)</f>
        <v>0</v>
      </c>
      <c r="I19" s="47">
        <f>IFERROR(COUNTIFS(課題と反省!$B$2:$B$102,TEXT(A19,"mm.dd")&amp;"*",課題と反省!$G$2:$G$102,"Y",課題と反省!$C$2:$C$102,"&lt;&gt;[今日の総括]")/COUNTIFS(課題と反省!$B$2:$B$102,TEXT(A19,"mm.dd")&amp;"*",課題と反省!$C$2:$C$102,"&lt;&gt;[今日の総括]")*100,0)</f>
        <v>15.909090909090908</v>
      </c>
      <c r="J19" s="46"/>
      <c r="K19" s="46"/>
    </row>
    <row r="20" spans="1:11" hidden="1" x14ac:dyDescent="0.15">
      <c r="A20" s="49" t="str">
        <f t="shared" si="5"/>
        <v/>
      </c>
      <c r="B20" s="48" t="str">
        <f t="shared" si="3"/>
        <v/>
      </c>
      <c r="C20" s="48" cm="1">
        <f t="array" ref="C20">SUMPRODUCT((株式ポートフォリオ!$C$8:$C$300&lt;&gt;"")*IFERROR(VALUE(SUBSTITUTE(LEFT(株式ポートフォリオ!$E$8:$E$300,5),".",""))=VALUE(TEXT(A20,"mmdd")),0))</f>
        <v>0</v>
      </c>
      <c r="D20" s="48" cm="1">
        <f t="array" ref="D20">SUMPRODUCT((株式ポートフォリオ!$C$8:$C$300&lt;&gt;"")*IFERROR(LEFT(株式ポートフォリオ!$E$8:$E$300,5)=TEXT(A20,"mm.dd"),0)*(株式ポートフォリオ!$M$8:$M$300&gt;0))</f>
        <v>0</v>
      </c>
      <c r="E20" s="48">
        <f t="shared" si="4"/>
        <v>0</v>
      </c>
      <c r="F20" s="47" cm="1">
        <f t="array" ref="F20">IFERROR(SUMPRODUCT((株式ポートフォリオ!$C$8:$C$300&lt;&gt;"")*IFERROR(LEFT(株式ポートフォリオ!$E$8:$E$300,5)=TEXT(A20,"mm.dd"),0)*(株式ポートフォリオ!$M$8:$M$300&gt;0))/SUMPRODUCT((株式ポートフォリオ!$C$8:$C$300&lt;&gt;"")*IFERROR(LEFT(株式ポートフォリオ!$E$8:$E$300,5)=TEXT(A20,"mm.dd"),0))*100,0)</f>
        <v>0</v>
      </c>
      <c r="G20" s="59" cm="1">
        <f t="array" ref="G20">SUMPRODUCT((株式ポートフォリオ!$C$8:$C$300&lt;&gt;"")*IFERROR(LEFT(株式ポートフォリオ!$E$8:$E$300,5)=TEXT(A20,"mm.dd"),0)*(株式ポートフォリオ!$M$8:$M$300))</f>
        <v>0</v>
      </c>
      <c r="H20" s="47" cm="1">
        <f t="array" ref="H20">IFERROR(SUMPRODUCT((課題と反省!$C$2:$C$102&lt;&gt;"[今日の総括]")*(課題と反省!$B$2:$B$102&lt;&gt;"")*IFERROR(LEFT(課題と反省!$B$2:$B$102,5)=TEXT(A20,"mm.dd"),0)*IFERROR(課題と反省!$F$2:$F$102,0))/SUMPRODUCT((課題と反省!$C$2:$C$102&lt;&gt;"[今日の総括]")*(課題と反省!$B$2:$B$102&lt;&gt;"")*IFERROR(LEFT(課題と反省!$B$2:$B$102,5)=TEXT(A20,"mm.dd"),0)*(課題と反省!$F$2:$F$102&lt;&gt;"")),0)</f>
        <v>0</v>
      </c>
      <c r="I20" s="47">
        <f>IFERROR(COUNTIFS(課題と反省!$B$2:$B$102,TEXT(A20,"mm.dd")&amp;"*",課題と反省!$G$2:$G$102,"Y",課題と反省!$C$2:$C$102,"&lt;&gt;[今日の総括]")/COUNTIFS(課題と反省!$B$2:$B$102,TEXT(A20,"mm.dd")&amp;"*",課題と反省!$C$2:$C$102,"&lt;&gt;[今日の総括]")*100,0)</f>
        <v>15.909090909090908</v>
      </c>
      <c r="J20" s="46"/>
      <c r="K20" s="46"/>
    </row>
    <row r="21" spans="1:11" x14ac:dyDescent="0.15">
      <c r="A21" s="49">
        <f t="shared" si="5"/>
        <v>46062</v>
      </c>
      <c r="B21" s="48" t="str">
        <f t="shared" si="3"/>
        <v>月</v>
      </c>
      <c r="C21" s="48" cm="1">
        <f t="array" ref="C21">SUMPRODUCT((株式ポートフォリオ!$C$8:$C$300&lt;&gt;"")*IFERROR(VALUE(SUBSTITUTE(LEFT(株式ポートフォリオ!$E$8:$E$300,5),".",""))=VALUE(TEXT(A21,"mmdd")),0))</f>
        <v>2</v>
      </c>
      <c r="D21" s="48" cm="1">
        <f t="array" ref="D21">SUMPRODUCT((株式ポートフォリオ!$C$8:$C$300&lt;&gt;"")*IFERROR(LEFT(株式ポートフォリオ!$E$8:$E$300,5)=TEXT(A21,"mm.dd"),0)*(株式ポートフォリオ!$M$8:$M$300&gt;0))</f>
        <v>2</v>
      </c>
      <c r="E21" s="48">
        <f t="shared" si="4"/>
        <v>0</v>
      </c>
      <c r="F21" s="47" cm="1">
        <f t="array" ref="F21">IFERROR(SUMPRODUCT((株式ポートフォリオ!$C$8:$C$300&lt;&gt;"")*IFERROR(LEFT(株式ポートフォリオ!$E$8:$E$300,5)=TEXT(A21,"mm.dd"),0)*(株式ポートフォリオ!$M$8:$M$300&gt;0))/SUMPRODUCT((株式ポートフォリオ!$C$8:$C$300&lt;&gt;"")*IFERROR(LEFT(株式ポートフォリオ!$E$8:$E$300,5)=TEXT(A21,"mm.dd"),0))*100,0)</f>
        <v>100</v>
      </c>
      <c r="G21" s="59" cm="1">
        <f t="array" ref="G21">SUMPRODUCT((株式ポートフォリオ!$C$8:$C$300&lt;&gt;"")*IFERROR(LEFT(株式ポートフォリオ!$E$8:$E$300,5)=TEXT(A21,"mm.dd"),0)*(株式ポートフォリオ!$M$8:$M$300))</f>
        <v>25510</v>
      </c>
      <c r="H21" s="47" cm="1">
        <f t="array" ref="H21">IFERROR(SUMPRODUCT((課題と反省!$C$2:$C$102&lt;&gt;"[今日の総括]")*(課題と反省!$B$2:$B$102&lt;&gt;"")*IFERROR(LEFT(課題と反省!$B$2:$B$102,5)=TEXT(A21,"mm.dd"),0)*IFERROR(課題と反省!$F$2:$F$102,0))/SUMPRODUCT((課題と反省!$C$2:$C$102&lt;&gt;"[今日の総括]")*(課題と反省!$B$2:$B$102&lt;&gt;"")*IFERROR(LEFT(課題と反省!$B$2:$B$102,5)=TEXT(A21,"mm.dd"),0)*(課題と反省!$F$2:$F$102&lt;&gt;"")),0)</f>
        <v>4</v>
      </c>
      <c r="I21" s="47">
        <f>IFERROR(COUNTIFS(課題と反省!$B$2:$B$102,TEXT(A21,"mm.dd")&amp;"*",課題と反省!$G$2:$G$102,"Y",課題と反省!$C$2:$C$102,"&lt;&gt;[今日の総括]")/COUNTIFS(課題と反省!$B$2:$B$102,TEXT(A21,"mm.dd")&amp;"*",課題と反省!$C$2:$C$102,"&lt;&gt;[今日の総括]")*100,0)</f>
        <v>100</v>
      </c>
      <c r="J21" s="46"/>
      <c r="K21" s="46"/>
    </row>
    <row r="22" spans="1:11" x14ac:dyDescent="0.15">
      <c r="A22" s="49">
        <f t="shared" si="5"/>
        <v>46063</v>
      </c>
      <c r="B22" s="48" t="str">
        <f t="shared" si="3"/>
        <v>火</v>
      </c>
      <c r="C22" s="48" cm="1">
        <f t="array" ref="C22">SUMPRODUCT((株式ポートフォリオ!$C$8:$C$300&lt;&gt;"")*IFERROR(VALUE(SUBSTITUTE(LEFT(株式ポートフォリオ!$E$8:$E$300,5),".",""))=VALUE(TEXT(A22,"mmdd")),0))</f>
        <v>4</v>
      </c>
      <c r="D22" s="48" cm="1">
        <f t="array" ref="D22">SUMPRODUCT((株式ポートフォリオ!$C$8:$C$300&lt;&gt;"")*IFERROR(LEFT(株式ポートフォリオ!$E$8:$E$300,5)=TEXT(A22,"mm.dd"),0)*(株式ポートフォリオ!$M$8:$M$300&gt;0))</f>
        <v>3</v>
      </c>
      <c r="E22" s="48">
        <f t="shared" si="4"/>
        <v>1</v>
      </c>
      <c r="F22" s="47" cm="1">
        <f t="array" ref="F22">IFERROR(SUMPRODUCT((株式ポートフォリオ!$C$8:$C$300&lt;&gt;"")*IFERROR(LEFT(株式ポートフォリオ!$E$8:$E$300,5)=TEXT(A22,"mm.dd"),0)*(株式ポートフォリオ!$M$8:$M$300&gt;0))/SUMPRODUCT((株式ポートフォリオ!$C$8:$C$300&lt;&gt;"")*IFERROR(LEFT(株式ポートフォリオ!$E$8:$E$300,5)=TEXT(A22,"mm.dd"),0))*100,0)</f>
        <v>75</v>
      </c>
      <c r="G22" s="59" cm="1">
        <f t="array" ref="G22">SUMPRODUCT((株式ポートフォリオ!$C$8:$C$300&lt;&gt;"")*IFERROR(LEFT(株式ポートフォリオ!$E$8:$E$300,5)=TEXT(A22,"mm.dd"),0)*(株式ポートフォリオ!$M$8:$M$300))</f>
        <v>34520</v>
      </c>
      <c r="H22" s="47" cm="1">
        <f t="array" ref="H22">IFERROR(SUMPRODUCT((課題と反省!$C$2:$C$102&lt;&gt;"[今日の総括]")*(課題と反省!$B$2:$B$102&lt;&gt;"")*IFERROR(LEFT(課題と反省!$B$2:$B$102,5)=TEXT(A22,"mm.dd"),0)*IFERROR(課題と反省!$F$2:$F$102,0))/SUMPRODUCT((課題と反省!$C$2:$C$102&lt;&gt;"[今日の総括]")*(課題と反省!$B$2:$B$102&lt;&gt;"")*IFERROR(LEFT(課題と反省!$B$2:$B$102,5)=TEXT(A22,"mm.dd"),0)*(課題と反省!$F$2:$F$102&lt;&gt;"")),0)</f>
        <v>4</v>
      </c>
      <c r="I22" s="47">
        <f>IFERROR(COUNTIFS(課題と反省!$B$2:$B$102,TEXT(A22,"mm.dd")&amp;"*",課題と反省!$G$2:$G$102,"Y",課題と反省!$C$2:$C$102,"&lt;&gt;[今日の総括]")/COUNTIFS(課題と反省!$B$2:$B$102,TEXT(A22,"mm.dd")&amp;"*",課題と反省!$C$2:$C$102,"&lt;&gt;[今日の総括]")*100,0)</f>
        <v>75</v>
      </c>
      <c r="J22" s="46"/>
      <c r="K22" s="46"/>
    </row>
    <row r="23" spans="1:11" x14ac:dyDescent="0.15">
      <c r="A23" s="49">
        <f t="shared" si="5"/>
        <v>46064</v>
      </c>
      <c r="B23" s="48" t="str">
        <f t="shared" si="3"/>
        <v>水</v>
      </c>
      <c r="C23" s="48" cm="1">
        <f t="array" ref="C23">SUMPRODUCT((株式ポートフォリオ!$C$8:$C$300&lt;&gt;"")*IFERROR(VALUE(SUBSTITUTE(LEFT(株式ポートフォリオ!$E$8:$E$300,5),".",""))=VALUE(TEXT(A23,"mmdd")),0))</f>
        <v>0</v>
      </c>
      <c r="D23" s="48" cm="1">
        <f t="array" ref="D23">SUMPRODUCT((株式ポートフォリオ!$C$8:$C$300&lt;&gt;"")*IFERROR(LEFT(株式ポートフォリオ!$E$8:$E$300,5)=TEXT(A23,"mm.dd"),0)*(株式ポートフォリオ!$M$8:$M$300&gt;0))</f>
        <v>0</v>
      </c>
      <c r="E23" s="48">
        <f t="shared" si="4"/>
        <v>0</v>
      </c>
      <c r="F23" s="47" cm="1">
        <f t="array" ref="F23">IFERROR(SUMPRODUCT((株式ポートフォリオ!$C$8:$C$300&lt;&gt;"")*IFERROR(LEFT(株式ポートフォリオ!$E$8:$E$300,5)=TEXT(A23,"mm.dd"),0)*(株式ポートフォリオ!$M$8:$M$300&gt;0))/SUMPRODUCT((株式ポートフォリオ!$C$8:$C$300&lt;&gt;"")*IFERROR(LEFT(株式ポートフォリオ!$E$8:$E$300,5)=TEXT(A23,"mm.dd"),0))*100,0)</f>
        <v>0</v>
      </c>
      <c r="G23" s="59" cm="1">
        <f t="array" ref="G23">SUMPRODUCT((株式ポートフォリオ!$C$8:$C$300&lt;&gt;"")*IFERROR(LEFT(株式ポートフォリオ!$E$8:$E$300,5)=TEXT(A23,"mm.dd"),0)*(株式ポートフォリオ!$M$8:$M$300))</f>
        <v>0</v>
      </c>
      <c r="H23" s="47" cm="1">
        <f t="array" ref="H23">IFERROR(SUMPRODUCT((課題と反省!$C$2:$C$102&lt;&gt;"[今日の総括]")*(課題と反省!$B$2:$B$102&lt;&gt;"")*IFERROR(LEFT(課題と反省!$B$2:$B$102,5)=TEXT(A23,"mm.dd"),0)*IFERROR(課題と反省!$F$2:$F$102,0))/SUMPRODUCT((課題と反省!$C$2:$C$102&lt;&gt;"[今日の総括]")*(課題と反省!$B$2:$B$102&lt;&gt;"")*IFERROR(LEFT(課題と反省!$B$2:$B$102,5)=TEXT(A23,"mm.dd"),0)*(課題と反省!$F$2:$F$102&lt;&gt;"")),0)</f>
        <v>0</v>
      </c>
      <c r="I23" s="47">
        <f>IFERROR(COUNTIFS(課題と反省!$B$2:$B$102,TEXT(A23,"mm.dd")&amp;"*",課題と反省!$G$2:$G$102,"Y",課題と反省!$C$2:$C$102,"&lt;&gt;[今日の総括]")/COUNTIFS(課題と反省!$B$2:$B$102,TEXT(A23,"mm.dd")&amp;"*",課題と反省!$C$2:$C$102,"&lt;&gt;[今日の総括]")*100,0)</f>
        <v>0</v>
      </c>
      <c r="J23" s="46"/>
      <c r="K23" s="46"/>
    </row>
    <row r="24" spans="1:11" x14ac:dyDescent="0.15">
      <c r="A24" s="49">
        <f t="shared" si="5"/>
        <v>46065</v>
      </c>
      <c r="B24" s="48" t="str">
        <f t="shared" si="3"/>
        <v>木</v>
      </c>
      <c r="C24" s="48" cm="1">
        <f t="array" ref="C24">SUMPRODUCT((株式ポートフォリオ!$C$8:$C$300&lt;&gt;"")*IFERROR(VALUE(SUBSTITUTE(LEFT(株式ポートフォリオ!$E$8:$E$300,5),".",""))=VALUE(TEXT(A24,"mmdd")),0))</f>
        <v>2</v>
      </c>
      <c r="D24" s="48" cm="1">
        <f t="array" ref="D24">SUMPRODUCT((株式ポートフォリオ!$C$8:$C$300&lt;&gt;"")*IFERROR(LEFT(株式ポートフォリオ!$E$8:$E$300,5)=TEXT(A24,"mm.dd"),0)*(株式ポートフォリオ!$M$8:$M$300&gt;0))</f>
        <v>2</v>
      </c>
      <c r="E24" s="48">
        <f t="shared" si="4"/>
        <v>0</v>
      </c>
      <c r="F24" s="47" cm="1">
        <f t="array" ref="F24">IFERROR(SUMPRODUCT((株式ポートフォリオ!$C$8:$C$300&lt;&gt;"")*IFERROR(LEFT(株式ポートフォリオ!$E$8:$E$300,5)=TEXT(A24,"mm.dd"),0)*(株式ポートフォリオ!$M$8:$M$300&gt;0))/SUMPRODUCT((株式ポートフォリオ!$C$8:$C$300&lt;&gt;"")*IFERROR(LEFT(株式ポートフォリオ!$E$8:$E$300,5)=TEXT(A24,"mm.dd"),0))*100,0)</f>
        <v>100</v>
      </c>
      <c r="G24" s="59" cm="1">
        <f t="array" ref="G24">SUMPRODUCT((株式ポートフォリオ!$C$8:$C$300&lt;&gt;"")*IFERROR(LEFT(株式ポートフォリオ!$E$8:$E$300,5)=TEXT(A24,"mm.dd"),0)*(株式ポートフォリオ!$M$8:$M$300))</f>
        <v>20000</v>
      </c>
      <c r="H24" s="47" cm="1">
        <f t="array" ref="H24">IFERROR(SUMPRODUCT((課題と反省!$C$2:$C$102&lt;&gt;"[今日の総括]")*(課題と反省!$B$2:$B$102&lt;&gt;"")*IFERROR(LEFT(課題と反省!$B$2:$B$102,5)=TEXT(A24,"mm.dd"),0)*IFERROR(課題と反省!$F$2:$F$102,0))/SUMPRODUCT((課題と反省!$C$2:$C$102&lt;&gt;"[今日の総括]")*(課題と反省!$B$2:$B$102&lt;&gt;"")*IFERROR(LEFT(課題と反省!$B$2:$B$102,5)=TEXT(A24,"mm.dd"),0)*(課題と反省!$F$2:$F$102&lt;&gt;"")),0)</f>
        <v>2</v>
      </c>
      <c r="I24" s="47">
        <f>IFERROR(COUNTIFS(課題と反省!$B$2:$B$102,TEXT(A24,"mm.dd")&amp;"*",課題と反省!$G$2:$G$102,"Y",課題と反省!$C$2:$C$102,"&lt;&gt;[今日の総括]")/COUNTIFS(課題と反省!$B$2:$B$102,TEXT(A24,"mm.dd")&amp;"*",課題と反省!$C$2:$C$102,"&lt;&gt;[今日の総括]")*100,0)</f>
        <v>0</v>
      </c>
      <c r="J24" s="46"/>
      <c r="K24" s="46"/>
    </row>
    <row r="25" spans="1:11" x14ac:dyDescent="0.15">
      <c r="A25" s="49">
        <f t="shared" si="5"/>
        <v>46066</v>
      </c>
      <c r="B25" s="48" t="str">
        <f t="shared" si="3"/>
        <v>金</v>
      </c>
      <c r="C25" s="48" cm="1">
        <f t="array" ref="C25">SUMPRODUCT((株式ポートフォリオ!$C$8:$C$300&lt;&gt;"")*IFERROR(VALUE(SUBSTITUTE(LEFT(株式ポートフォリオ!$E$8:$E$300,5),".",""))=VALUE(TEXT(A25,"mmdd")),0))</f>
        <v>4</v>
      </c>
      <c r="D25" s="48" cm="1">
        <f t="array" ref="D25">SUMPRODUCT((株式ポートフォリオ!$C$8:$C$300&lt;&gt;"")*IFERROR(LEFT(株式ポートフォリオ!$E$8:$E$300,5)=TEXT(A25,"mm.dd"),0)*(株式ポートフォリオ!$M$8:$M$300&gt;0))</f>
        <v>3</v>
      </c>
      <c r="E25" s="48">
        <f t="shared" si="4"/>
        <v>1</v>
      </c>
      <c r="F25" s="47" cm="1">
        <f t="array" ref="F25">IFERROR(SUMPRODUCT((株式ポートフォリオ!$C$8:$C$300&lt;&gt;"")*IFERROR(LEFT(株式ポートフォリオ!$E$8:$E$300,5)=TEXT(A25,"mm.dd"),0)*(株式ポートフォリオ!$M$8:$M$300&gt;0))/SUMPRODUCT((株式ポートフォリオ!$C$8:$C$300&lt;&gt;"")*IFERROR(LEFT(株式ポートフォリオ!$E$8:$E$300,5)=TEXT(A25,"mm.dd"),0))*100,0)</f>
        <v>75</v>
      </c>
      <c r="G25" s="59" cm="1">
        <f t="array" ref="G25">SUMPRODUCT((株式ポートフォリオ!$C$8:$C$300&lt;&gt;"")*IFERROR(LEFT(株式ポートフォリオ!$E$8:$E$300,5)=TEXT(A25,"mm.dd"),0)*(株式ポートフォリオ!$M$8:$M$300))</f>
        <v>23600</v>
      </c>
      <c r="H25" s="47" cm="1">
        <f t="array" ref="H25">IFERROR(SUMPRODUCT((課題と反省!$C$2:$C$102&lt;&gt;"[今日の総括]")*(課題と反省!$B$2:$B$102&lt;&gt;"")*IFERROR(LEFT(課題と反省!$B$2:$B$102,5)=TEXT(A25,"mm.dd"),0)*IFERROR(課題と反省!$F$2:$F$102,0))/SUMPRODUCT((課題と反省!$C$2:$C$102&lt;&gt;"[今日の総括]")*(課題と反省!$B$2:$B$102&lt;&gt;"")*IFERROR(LEFT(課題と反省!$B$2:$B$102,5)=TEXT(A25,"mm.dd"),0)*(課題と反省!$F$2:$F$102&lt;&gt;"")),0)</f>
        <v>1.5</v>
      </c>
      <c r="I25" s="47">
        <f>IFERROR(COUNTIFS(課題と反省!$B$2:$B$102,TEXT(A25,"mm.dd")&amp;"*",課題と反省!$G$2:$G$102,"Y",課題と反省!$C$2:$C$102,"&lt;&gt;[今日の総括]")/COUNTIFS(課題と反省!$B$2:$B$102,TEXT(A25,"mm.dd")&amp;"*",課題と反省!$C$2:$C$102,"&lt;&gt;[今日の総括]")*100,0)</f>
        <v>25</v>
      </c>
      <c r="J25" s="46"/>
      <c r="K25" s="46"/>
    </row>
    <row r="26" spans="1:11" hidden="1" x14ac:dyDescent="0.15">
      <c r="A26" s="49" t="str">
        <f t="shared" si="5"/>
        <v/>
      </c>
      <c r="B26" s="48" t="str">
        <f t="shared" si="3"/>
        <v/>
      </c>
      <c r="C26" s="48" cm="1">
        <f t="array" ref="C26">SUMPRODUCT((株式ポートフォリオ!$C$8:$C$300&lt;&gt;"")*IFERROR(VALUE(SUBSTITUTE(LEFT(株式ポートフォリオ!$E$8:$E$300,5),".",""))=VALUE(TEXT(A26,"mmdd")),0))</f>
        <v>0</v>
      </c>
      <c r="D26" s="48" cm="1">
        <f t="array" ref="D26">SUMPRODUCT((株式ポートフォリオ!$C$8:$C$300&lt;&gt;"")*IFERROR(LEFT(株式ポートフォリオ!$E$8:$E$300,5)=TEXT(A26,"mm.dd"),0)*(株式ポートフォリオ!$M$8:$M$300&gt;0))</f>
        <v>0</v>
      </c>
      <c r="E26" s="48">
        <f t="shared" si="4"/>
        <v>0</v>
      </c>
      <c r="F26" s="47" cm="1">
        <f t="array" ref="F26">IFERROR(SUMPRODUCT((株式ポートフォリオ!$C$8:$C$300&lt;&gt;"")*IFERROR(LEFT(株式ポートフォリオ!$E$8:$E$300,5)=TEXT(A26,"mm.dd"),0)*(株式ポートフォリオ!$M$8:$M$300&gt;0))/SUMPRODUCT((株式ポートフォリオ!$C$8:$C$300&lt;&gt;"")*IFERROR(LEFT(株式ポートフォリオ!$E$8:$E$300,5)=TEXT(A26,"mm.dd"),0))*100,0)</f>
        <v>0</v>
      </c>
      <c r="G26" s="59" cm="1">
        <f t="array" ref="G26">SUMPRODUCT((株式ポートフォリオ!$C$8:$C$300&lt;&gt;"")*IFERROR(LEFT(株式ポートフォリオ!$E$8:$E$300,5)=TEXT(A26,"mm.dd"),0)*(株式ポートフォリオ!$M$8:$M$300))</f>
        <v>0</v>
      </c>
      <c r="H26" s="47" cm="1">
        <f t="array" ref="H26">IFERROR(SUMPRODUCT((課題と反省!$C$2:$C$102&lt;&gt;"[今日の総括]")*(課題と反省!$B$2:$B$102&lt;&gt;"")*IFERROR(LEFT(課題と反省!$B$2:$B$102,5)=TEXT(A26,"mm.dd"),0)*IFERROR(課題と反省!$F$2:$F$102,0))/SUMPRODUCT((課題と反省!$C$2:$C$102&lt;&gt;"[今日の総括]")*(課題と反省!$B$2:$B$102&lt;&gt;"")*IFERROR(LEFT(課題と反省!$B$2:$B$102,5)=TEXT(A26,"mm.dd"),0)*(課題と反省!$F$2:$F$102&lt;&gt;"")),0)</f>
        <v>0</v>
      </c>
      <c r="I26" s="47">
        <f>IFERROR(COUNTIFS(課題と反省!$B$2:$B$102,TEXT(A26,"mm.dd")&amp;"*",課題と反省!$G$2:$G$102,"Y",課題と反省!$C$2:$C$102,"&lt;&gt;[今日の総括]")/COUNTIFS(課題と反省!$B$2:$B$102,TEXT(A26,"mm.dd")&amp;"*",課題と反省!$C$2:$C$102,"&lt;&gt;[今日の総括]")*100,0)</f>
        <v>15.909090909090908</v>
      </c>
      <c r="J26" s="46"/>
      <c r="K26" s="46"/>
    </row>
    <row r="27" spans="1:11" hidden="1" x14ac:dyDescent="0.15">
      <c r="A27" s="49" t="str">
        <f t="shared" si="5"/>
        <v/>
      </c>
      <c r="B27" s="48" t="str">
        <f t="shared" si="3"/>
        <v/>
      </c>
      <c r="C27" s="48" cm="1">
        <f t="array" ref="C27">SUMPRODUCT((株式ポートフォリオ!$C$8:$C$300&lt;&gt;"")*IFERROR(VALUE(SUBSTITUTE(LEFT(株式ポートフォリオ!$E$8:$E$300,5),".",""))=VALUE(TEXT(A27,"mmdd")),0))</f>
        <v>0</v>
      </c>
      <c r="D27" s="48" cm="1">
        <f t="array" ref="D27">SUMPRODUCT((株式ポートフォリオ!$C$8:$C$300&lt;&gt;"")*IFERROR(LEFT(株式ポートフォリオ!$E$8:$E$300,5)=TEXT(A27,"mm.dd"),0)*(株式ポートフォリオ!$M$8:$M$300&gt;0))</f>
        <v>0</v>
      </c>
      <c r="E27" s="48">
        <f t="shared" si="4"/>
        <v>0</v>
      </c>
      <c r="F27" s="47" cm="1">
        <f t="array" ref="F27">IFERROR(SUMPRODUCT((株式ポートフォリオ!$C$8:$C$300&lt;&gt;"")*IFERROR(LEFT(株式ポートフォリオ!$E$8:$E$300,5)=TEXT(A27,"mm.dd"),0)*(株式ポートフォリオ!$M$8:$M$300&gt;0))/SUMPRODUCT((株式ポートフォリオ!$C$8:$C$300&lt;&gt;"")*IFERROR(LEFT(株式ポートフォリオ!$E$8:$E$300,5)=TEXT(A27,"mm.dd"),0))*100,0)</f>
        <v>0</v>
      </c>
      <c r="G27" s="59" cm="1">
        <f t="array" ref="G27">SUMPRODUCT((株式ポートフォリオ!$C$8:$C$300&lt;&gt;"")*IFERROR(LEFT(株式ポートフォリオ!$E$8:$E$300,5)=TEXT(A27,"mm.dd"),0)*(株式ポートフォリオ!$M$8:$M$300))</f>
        <v>0</v>
      </c>
      <c r="H27" s="47" cm="1">
        <f t="array" ref="H27">IFERROR(SUMPRODUCT((課題と反省!$C$2:$C$102&lt;&gt;"[今日の総括]")*(課題と反省!$B$2:$B$102&lt;&gt;"")*IFERROR(LEFT(課題と反省!$B$2:$B$102,5)=TEXT(A27,"mm.dd"),0)*IFERROR(課題と反省!$F$2:$F$102,0))/SUMPRODUCT((課題と反省!$C$2:$C$102&lt;&gt;"[今日の総括]")*(課題と反省!$B$2:$B$102&lt;&gt;"")*IFERROR(LEFT(課題と反省!$B$2:$B$102,5)=TEXT(A27,"mm.dd"),0)*(課題と反省!$F$2:$F$102&lt;&gt;"")),0)</f>
        <v>0</v>
      </c>
      <c r="I27" s="47">
        <f>IFERROR(COUNTIFS(課題と反省!$B$2:$B$102,TEXT(A27,"mm.dd")&amp;"*",課題と反省!$G$2:$G$102,"Y",課題と反省!$C$2:$C$102,"&lt;&gt;[今日の総括]")/COUNTIFS(課題と反省!$B$2:$B$102,TEXT(A27,"mm.dd")&amp;"*",課題と反省!$C$2:$C$102,"&lt;&gt;[今日の総括]")*100,0)</f>
        <v>15.909090909090908</v>
      </c>
      <c r="J27" s="46"/>
      <c r="K27" s="46"/>
    </row>
    <row r="28" spans="1:11" x14ac:dyDescent="0.15">
      <c r="A28" s="49">
        <f t="shared" si="5"/>
        <v>46069</v>
      </c>
      <c r="B28" s="48" t="str">
        <f t="shared" si="3"/>
        <v>月</v>
      </c>
      <c r="C28" s="48" cm="1">
        <f t="array" ref="C28">SUMPRODUCT((株式ポートフォリオ!$C$8:$C$300&lt;&gt;"")*IFERROR(VALUE(SUBSTITUTE(LEFT(株式ポートフォリオ!$E$8:$E$300,5),".",""))=VALUE(TEXT(A28,"mmdd")),0))</f>
        <v>1</v>
      </c>
      <c r="D28" s="48" cm="1">
        <f t="array" ref="D28">SUMPRODUCT((株式ポートフォリオ!$C$8:$C$300&lt;&gt;"")*IFERROR(LEFT(株式ポートフォリオ!$E$8:$E$300,5)=TEXT(A28,"mm.dd"),0)*(株式ポートフォリオ!$M$8:$M$300&gt;0))</f>
        <v>1</v>
      </c>
      <c r="E28" s="48">
        <f t="shared" si="4"/>
        <v>0</v>
      </c>
      <c r="F28" s="47" cm="1">
        <f t="array" ref="F28">IFERROR(SUMPRODUCT((株式ポートフォリオ!$C$8:$C$300&lt;&gt;"")*IFERROR(LEFT(株式ポートフォリオ!$E$8:$E$300,5)=TEXT(A28,"mm.dd"),0)*(株式ポートフォリオ!$M$8:$M$300&gt;0))/SUMPRODUCT((株式ポートフォリオ!$C$8:$C$300&lt;&gt;"")*IFERROR(LEFT(株式ポートフォリオ!$E$8:$E$300,5)=TEXT(A28,"mm.dd"),0))*100,0)</f>
        <v>100</v>
      </c>
      <c r="G28" s="59" cm="1">
        <f t="array" ref="G28">SUMPRODUCT((株式ポートフォリオ!$C$8:$C$300&lt;&gt;"")*IFERROR(LEFT(株式ポートフォリオ!$E$8:$E$300,5)=TEXT(A28,"mm.dd"),0)*(株式ポートフォリオ!$M$8:$M$300))</f>
        <v>13500</v>
      </c>
      <c r="H28" s="47" cm="1">
        <f t="array" ref="H28">IFERROR(SUMPRODUCT((課題と反省!$C$2:$C$102&lt;&gt;"[今日の総括]")*(課題と反省!$B$2:$B$102&lt;&gt;"")*IFERROR(LEFT(課題と反省!$B$2:$B$102,5)=TEXT(A28,"mm.dd"),0)*IFERROR(課題と反省!$F$2:$F$102,0))/SUMPRODUCT((課題と反省!$C$2:$C$102&lt;&gt;"[今日の総括]")*(課題と反省!$B$2:$B$102&lt;&gt;"")*IFERROR(LEFT(課題と反省!$B$2:$B$102,5)=TEXT(A28,"mm.dd"),0)*(課題と反省!$F$2:$F$102&lt;&gt;"")),0)</f>
        <v>1</v>
      </c>
      <c r="I28" s="47">
        <f>IFERROR(COUNTIFS(課題と反省!$B$2:$B$102,TEXT(A28,"mm.dd")&amp;"*",課題と反省!$G$2:$G$102,"Y",課題と反省!$C$2:$C$102,"&lt;&gt;[今日の総括]")/COUNTIFS(課題と反省!$B$2:$B$102,TEXT(A28,"mm.dd")&amp;"*",課題と反省!$C$2:$C$102,"&lt;&gt;[今日の総括]")*100,0)</f>
        <v>100</v>
      </c>
      <c r="J28" s="46"/>
      <c r="K28" s="46"/>
    </row>
    <row r="29" spans="1:11" x14ac:dyDescent="0.15">
      <c r="A29" s="49">
        <f t="shared" si="5"/>
        <v>46070</v>
      </c>
      <c r="B29" s="48" t="str">
        <f t="shared" si="3"/>
        <v>火</v>
      </c>
      <c r="C29" s="48" cm="1">
        <f t="array" ref="C29">SUMPRODUCT((株式ポートフォリオ!$C$8:$C$300&lt;&gt;"")*IFERROR(VALUE(SUBSTITUTE(LEFT(株式ポートフォリオ!$E$8:$E$300,5),".",""))=VALUE(TEXT(A29,"mmdd")),0))</f>
        <v>3</v>
      </c>
      <c r="D29" s="48" cm="1">
        <f t="array" ref="D29">SUMPRODUCT((株式ポートフォリオ!$C$8:$C$300&lt;&gt;"")*IFERROR(LEFT(株式ポートフォリオ!$E$8:$E$300,5)=TEXT(A29,"mm.dd"),0)*(株式ポートフォリオ!$M$8:$M$300&gt;0))</f>
        <v>1</v>
      </c>
      <c r="E29" s="48">
        <f t="shared" si="4"/>
        <v>2</v>
      </c>
      <c r="F29" s="47" cm="1">
        <f t="array" ref="F29">IFERROR(SUMPRODUCT((株式ポートフォリオ!$C$8:$C$300&lt;&gt;"")*IFERROR(LEFT(株式ポートフォリオ!$E$8:$E$300,5)=TEXT(A29,"mm.dd"),0)*(株式ポートフォリオ!$M$8:$M$300&gt;0))/SUMPRODUCT((株式ポートフォリオ!$C$8:$C$300&lt;&gt;"")*IFERROR(LEFT(株式ポートフォリオ!$E$8:$E$300,5)=TEXT(A29,"mm.dd"),0))*100,0)</f>
        <v>33.333333333333329</v>
      </c>
      <c r="G29" s="59" cm="1">
        <f t="array" ref="G29">SUMPRODUCT((株式ポートフォリオ!$C$8:$C$300&lt;&gt;"")*IFERROR(LEFT(株式ポートフォリオ!$E$8:$E$300,5)=TEXT(A29,"mm.dd"),0)*(株式ポートフォリオ!$M$8:$M$300))</f>
        <v>-21520</v>
      </c>
      <c r="H29" s="47" cm="1">
        <f t="array" ref="H29">IFERROR(SUMPRODUCT((課題と反省!$C$2:$C$102&lt;&gt;"[今日の総括]")*(課題と反省!$B$2:$B$102&lt;&gt;"")*IFERROR(LEFT(課題と反省!$B$2:$B$102,5)=TEXT(A29,"mm.dd"),0)*IFERROR(課題と反省!$F$2:$F$102,0))/SUMPRODUCT((課題と反省!$C$2:$C$102&lt;&gt;"[今日の総括]")*(課題と反省!$B$2:$B$102&lt;&gt;"")*IFERROR(LEFT(課題と反省!$B$2:$B$102,5)=TEXT(A29,"mm.dd"),0)*(課題と反省!$F$2:$F$102&lt;&gt;"")),0)</f>
        <v>1.6666666666666667</v>
      </c>
      <c r="I29" s="47">
        <f>IFERROR(COUNTIFS(課題と反省!$B$2:$B$102,TEXT(A29,"mm.dd")&amp;"*",課題と反省!$G$2:$G$102,"Y",課題と反省!$C$2:$C$102,"&lt;&gt;[今日の総括]")/COUNTIFS(課題と反省!$B$2:$B$102,TEXT(A29,"mm.dd")&amp;"*",課題と反省!$C$2:$C$102,"&lt;&gt;[今日の総括]")*100,0)</f>
        <v>0</v>
      </c>
      <c r="J29" s="46"/>
      <c r="K29" s="46"/>
    </row>
    <row r="30" spans="1:11" x14ac:dyDescent="0.15">
      <c r="A30" s="49">
        <f t="shared" si="5"/>
        <v>46071</v>
      </c>
      <c r="B30" s="48" t="str">
        <f t="shared" si="3"/>
        <v>水</v>
      </c>
      <c r="C30" s="48" cm="1">
        <f t="array" ref="C30">SUMPRODUCT((株式ポートフォリオ!$C$8:$C$300&lt;&gt;"")*IFERROR(VALUE(SUBSTITUTE(LEFT(株式ポートフォリオ!$E$8:$E$300,5),".",""))=VALUE(TEXT(A30,"mmdd")),0))</f>
        <v>2</v>
      </c>
      <c r="D30" s="48" cm="1">
        <f t="array" ref="D30">SUMPRODUCT((株式ポートフォリオ!$C$8:$C$300&lt;&gt;"")*IFERROR(LEFT(株式ポートフォリオ!$E$8:$E$300,5)=TEXT(A30,"mm.dd"),0)*(株式ポートフォリオ!$M$8:$M$300&gt;0))</f>
        <v>2</v>
      </c>
      <c r="E30" s="48">
        <f t="shared" si="4"/>
        <v>0</v>
      </c>
      <c r="F30" s="47" cm="1">
        <f t="array" ref="F30">IFERROR(SUMPRODUCT((株式ポートフォリオ!$C$8:$C$300&lt;&gt;"")*IFERROR(LEFT(株式ポートフォリオ!$E$8:$E$300,5)=TEXT(A30,"mm.dd"),0)*(株式ポートフォリオ!$M$8:$M$300&gt;0))/SUMPRODUCT((株式ポートフォリオ!$C$8:$C$300&lt;&gt;"")*IFERROR(LEFT(株式ポートフォリオ!$E$8:$E$300,5)=TEXT(A30,"mm.dd"),0))*100,0)</f>
        <v>100</v>
      </c>
      <c r="G30" s="59" cm="1">
        <f t="array" ref="G30">SUMPRODUCT((株式ポートフォリオ!$C$8:$C$300&lt;&gt;"")*IFERROR(LEFT(株式ポートフォリオ!$E$8:$E$300,5)=TEXT(A30,"mm.dd"),0)*(株式ポートフォリオ!$M$8:$M$300))</f>
        <v>25900</v>
      </c>
      <c r="H30" s="47" cm="1">
        <f t="array" ref="H30">IFERROR(SUMPRODUCT((課題と反省!$C$2:$C$102&lt;&gt;"[今日の総括]")*(課題と反省!$B$2:$B$102&lt;&gt;"")*IFERROR(LEFT(課題と反省!$B$2:$B$102,5)=TEXT(A30,"mm.dd"),0)*IFERROR(課題と反省!$F$2:$F$102,0))/SUMPRODUCT((課題と反省!$C$2:$C$102&lt;&gt;"[今日の総括]")*(課題と反省!$B$2:$B$102&lt;&gt;"")*IFERROR(LEFT(課題と反省!$B$2:$B$102,5)=TEXT(A30,"mm.dd"),0)*(課題と反省!$F$2:$F$102&lt;&gt;"")),0)</f>
        <v>4</v>
      </c>
      <c r="I30" s="47">
        <f>IFERROR(COUNTIFS(課題と反省!$B$2:$B$102,TEXT(A30,"mm.dd")&amp;"*",課題と反省!$G$2:$G$102,"Y",課題と反省!$C$2:$C$102,"&lt;&gt;[今日の総括]")/COUNTIFS(課題と反省!$B$2:$B$102,TEXT(A30,"mm.dd")&amp;"*",課題と反省!$C$2:$C$102,"&lt;&gt;[今日の総括]")*100,0)</f>
        <v>50</v>
      </c>
      <c r="J30" s="46"/>
      <c r="K30" s="46"/>
    </row>
    <row r="31" spans="1:11" x14ac:dyDescent="0.15">
      <c r="A31" s="49">
        <f t="shared" si="5"/>
        <v>46072</v>
      </c>
      <c r="B31" s="48" t="str">
        <f t="shared" si="3"/>
        <v>木</v>
      </c>
      <c r="C31" s="48" cm="1">
        <f t="array" ref="C31">SUMPRODUCT((株式ポートフォリオ!$C$8:$C$300&lt;&gt;"")*IFERROR(VALUE(SUBSTITUTE(LEFT(株式ポートフォリオ!$E$8:$E$300,5),".",""))=VALUE(TEXT(A31,"mmdd")),0))</f>
        <v>1</v>
      </c>
      <c r="D31" s="48" cm="1">
        <f t="array" ref="D31">SUMPRODUCT((株式ポートフォリオ!$C$8:$C$300&lt;&gt;"")*IFERROR(LEFT(株式ポートフォリオ!$E$8:$E$300,5)=TEXT(A31,"mm.dd"),0)*(株式ポートフォリオ!$M$8:$M$300&gt;0))</f>
        <v>1</v>
      </c>
      <c r="E31" s="48">
        <f t="shared" si="4"/>
        <v>0</v>
      </c>
      <c r="F31" s="47" cm="1">
        <f t="array" ref="F31">IFERROR(SUMPRODUCT((株式ポートフォリオ!$C$8:$C$300&lt;&gt;"")*IFERROR(LEFT(株式ポートフォリオ!$E$8:$E$300,5)=TEXT(A31,"mm.dd"),0)*(株式ポートフォリオ!$M$8:$M$300&gt;0))/SUMPRODUCT((株式ポートフォリオ!$C$8:$C$300&lt;&gt;"")*IFERROR(LEFT(株式ポートフォリオ!$E$8:$E$300,5)=TEXT(A31,"mm.dd"),0))*100,0)</f>
        <v>100</v>
      </c>
      <c r="G31" s="59" cm="1">
        <f t="array" ref="G31">SUMPRODUCT((株式ポートフォリオ!$C$8:$C$300&lt;&gt;"")*IFERROR(LEFT(株式ポートフォリオ!$E$8:$E$300,5)=TEXT(A31,"mm.dd"),0)*(株式ポートフォリオ!$M$8:$M$300))</f>
        <v>17990</v>
      </c>
      <c r="H31" s="47" cm="1">
        <f t="array" ref="H31">IFERROR(SUMPRODUCT((課題と反省!$C$2:$C$102&lt;&gt;"[今日の総括]")*(課題と反省!$B$2:$B$102&lt;&gt;"")*IFERROR(LEFT(課題と反省!$B$2:$B$102,5)=TEXT(A31,"mm.dd"),0)*IFERROR(課題と反省!$F$2:$F$102,0))/SUMPRODUCT((課題と反省!$C$2:$C$102&lt;&gt;"[今日の総括]")*(課題と反省!$B$2:$B$102&lt;&gt;"")*IFERROR(LEFT(課題と反省!$B$2:$B$102,5)=TEXT(A31,"mm.dd"),0)*(課題と反省!$F$2:$F$102&lt;&gt;"")),0)</f>
        <v>4</v>
      </c>
      <c r="I31" s="47">
        <f>IFERROR(COUNTIFS(課題と反省!$B$2:$B$102,TEXT(A31,"mm.dd")&amp;"*",課題と反省!$G$2:$G$102,"Y",課題と反省!$C$2:$C$102,"&lt;&gt;[今日の総括]")/COUNTIFS(課題と反省!$B$2:$B$102,TEXT(A31,"mm.dd")&amp;"*",課題と反省!$C$2:$C$102,"&lt;&gt;[今日の総括]")*100,0)</f>
        <v>100</v>
      </c>
      <c r="J31" s="46"/>
      <c r="K31" s="46"/>
    </row>
    <row r="32" spans="1:11" x14ac:dyDescent="0.15">
      <c r="A32" s="49">
        <f t="shared" si="5"/>
        <v>46073</v>
      </c>
      <c r="B32" s="48" t="str">
        <f t="shared" si="3"/>
        <v>金</v>
      </c>
      <c r="C32" s="48" cm="1">
        <f t="array" ref="C32">SUMPRODUCT((株式ポートフォリオ!$C$8:$C$300&lt;&gt;"")*IFERROR(VALUE(SUBSTITUTE(LEFT(株式ポートフォリオ!$E$8:$E$300,5),".",""))=VALUE(TEXT(A32,"mmdd")),0))</f>
        <v>0</v>
      </c>
      <c r="D32" s="48" cm="1">
        <f t="array" ref="D32">SUMPRODUCT((株式ポートフォリオ!$C$8:$C$300&lt;&gt;"")*IFERROR(LEFT(株式ポートフォリオ!$E$8:$E$300,5)=TEXT(A32,"mm.dd"),0)*(株式ポートフォリオ!$M$8:$M$300&gt;0))</f>
        <v>0</v>
      </c>
      <c r="E32" s="48">
        <f t="shared" si="4"/>
        <v>0</v>
      </c>
      <c r="F32" s="47" cm="1">
        <f t="array" ref="F32">IFERROR(SUMPRODUCT((株式ポートフォリオ!$C$8:$C$300&lt;&gt;"")*IFERROR(LEFT(株式ポートフォリオ!$E$8:$E$300,5)=TEXT(A32,"mm.dd"),0)*(株式ポートフォリオ!$M$8:$M$300&gt;0))/SUMPRODUCT((株式ポートフォリオ!$C$8:$C$300&lt;&gt;"")*IFERROR(LEFT(株式ポートフォリオ!$E$8:$E$300,5)=TEXT(A32,"mm.dd"),0))*100,0)</f>
        <v>0</v>
      </c>
      <c r="G32" s="59" cm="1">
        <f t="array" ref="G32">SUMPRODUCT((株式ポートフォリオ!$C$8:$C$300&lt;&gt;"")*IFERROR(LEFT(株式ポートフォリオ!$E$8:$E$300,5)=TEXT(A32,"mm.dd"),0)*(株式ポートフォリオ!$M$8:$M$300))</f>
        <v>0</v>
      </c>
      <c r="H32" s="47" cm="1">
        <f t="array" ref="H32">IFERROR(SUMPRODUCT((課題と反省!$C$2:$C$102&lt;&gt;"[今日の総括]")*(課題と反省!$B$2:$B$102&lt;&gt;"")*IFERROR(LEFT(課題と反省!$B$2:$B$102,5)=TEXT(A32,"mm.dd"),0)*IFERROR(課題と反省!$F$2:$F$102,0))/SUMPRODUCT((課題と反省!$C$2:$C$102&lt;&gt;"[今日の総括]")*(課題と反省!$B$2:$B$102&lt;&gt;"")*IFERROR(LEFT(課題と反省!$B$2:$B$102,5)=TEXT(A32,"mm.dd"),0)*(課題と反省!$F$2:$F$102&lt;&gt;"")),0)</f>
        <v>0</v>
      </c>
      <c r="I32" s="47">
        <f>IFERROR(COUNTIFS(課題と反省!$B$2:$B$102,TEXT(A32,"mm.dd")&amp;"*",課題と反省!$G$2:$G$102,"Y",課題と反省!$C$2:$C$102,"&lt;&gt;[今日の総括]")/COUNTIFS(課題と反省!$B$2:$B$102,TEXT(A32,"mm.dd")&amp;"*",課題と反省!$C$2:$C$102,"&lt;&gt;[今日の総括]")*100,0)</f>
        <v>0</v>
      </c>
      <c r="J32" s="46"/>
      <c r="K32" s="46"/>
    </row>
    <row r="33" spans="1:12" hidden="1" x14ac:dyDescent="0.15">
      <c r="A33" s="49" t="str">
        <f t="shared" si="5"/>
        <v/>
      </c>
      <c r="B33" s="48" t="str">
        <f t="shared" si="3"/>
        <v/>
      </c>
      <c r="C33" s="48" cm="1">
        <f t="array" ref="C33">SUMPRODUCT((株式ポートフォリオ!$C$8:$C$300&lt;&gt;"")*IFERROR(VALUE(SUBSTITUTE(LEFT(株式ポートフォリオ!$E$8:$E$300,5),".",""))=VALUE(TEXT(A33,"mmdd")),0))</f>
        <v>0</v>
      </c>
      <c r="D33" s="48" cm="1">
        <f t="array" ref="D33">SUMPRODUCT((株式ポートフォリオ!$C$8:$C$300&lt;&gt;"")*IFERROR(LEFT(株式ポートフォリオ!$E$8:$E$300,5)=TEXT(A33,"mm.dd"),0)*(株式ポートフォリオ!$M$8:$M$300&gt;0))</f>
        <v>0</v>
      </c>
      <c r="E33" s="48">
        <f t="shared" si="4"/>
        <v>0</v>
      </c>
      <c r="F33" s="47" cm="1">
        <f t="array" ref="F33">IFERROR(SUMPRODUCT((株式ポートフォリオ!$C$8:$C$300&lt;&gt;"")*IFERROR(LEFT(株式ポートフォリオ!$E$8:$E$300,5)=TEXT(A33,"mm.dd"),0)*(株式ポートフォリオ!$M$8:$M$300&gt;0))/SUMPRODUCT((株式ポートフォリオ!$C$8:$C$300&lt;&gt;"")*IFERROR(LEFT(株式ポートフォリオ!$E$8:$E$300,5)=TEXT(A33,"mm.dd"),0))*100,0)</f>
        <v>0</v>
      </c>
      <c r="G33" s="59" cm="1">
        <f t="array" ref="G33">SUMPRODUCT((株式ポートフォリオ!$C$8:$C$300&lt;&gt;"")*IFERROR(LEFT(株式ポートフォリオ!$E$8:$E$300,5)=TEXT(A33,"mm.dd"),0)*(株式ポートフォリオ!$M$8:$M$300))</f>
        <v>0</v>
      </c>
      <c r="H33" s="47" cm="1">
        <f t="array" ref="H33">IFERROR(SUMPRODUCT((課題と反省!$C$2:$C$102&lt;&gt;"[今日の総括]")*(課題と反省!$B$2:$B$102&lt;&gt;"")*IFERROR(LEFT(課題と反省!$B$2:$B$102,5)=TEXT(A33,"mm.dd"),0)*IFERROR(課題と反省!$F$2:$F$102,0))/SUMPRODUCT((課題と反省!$C$2:$C$102&lt;&gt;"[今日の総括]")*(課題と反省!$B$2:$B$102&lt;&gt;"")*IFERROR(LEFT(課題と反省!$B$2:$B$102,5)=TEXT(A33,"mm.dd"),0)*(課題と反省!$F$2:$F$102&lt;&gt;"")),0)</f>
        <v>0</v>
      </c>
      <c r="I33" s="47">
        <f>IFERROR(COUNTIFS(課題と反省!$B$2:$B$102,TEXT(A33,"mm.dd")&amp;"*",課題と反省!$G$2:$G$102,"Y",課題と反省!$C$2:$C$102,"&lt;&gt;[今日の総括]")/COUNTIFS(課題と反省!$B$2:$B$102,TEXT(A33,"mm.dd")&amp;"*",課題と反省!$C$2:$C$102,"&lt;&gt;[今日の総括]")*100,0)</f>
        <v>15.909090909090908</v>
      </c>
      <c r="J33" s="46"/>
      <c r="K33" s="46"/>
    </row>
    <row r="34" spans="1:12" hidden="1" x14ac:dyDescent="0.15">
      <c r="A34" s="49" t="str">
        <f t="shared" si="5"/>
        <v/>
      </c>
      <c r="B34" s="48" t="str">
        <f t="shared" si="3"/>
        <v/>
      </c>
      <c r="C34" s="48" cm="1">
        <f t="array" ref="C34">SUMPRODUCT((株式ポートフォリオ!$C$8:$C$300&lt;&gt;"")*IFERROR(VALUE(SUBSTITUTE(LEFT(株式ポートフォリオ!$E$8:$E$300,5),".",""))=VALUE(TEXT(A34,"mmdd")),0))</f>
        <v>0</v>
      </c>
      <c r="D34" s="48" cm="1">
        <f t="array" ref="D34">SUMPRODUCT((株式ポートフォリオ!$C$8:$C$300&lt;&gt;"")*IFERROR(LEFT(株式ポートフォリオ!$E$8:$E$300,5)=TEXT(A34,"mm.dd"),0)*(株式ポートフォリオ!$M$8:$M$300&gt;0))</f>
        <v>0</v>
      </c>
      <c r="E34" s="48">
        <f t="shared" si="4"/>
        <v>0</v>
      </c>
      <c r="F34" s="47" cm="1">
        <f t="array" ref="F34">IFERROR(SUMPRODUCT((株式ポートフォリオ!$C$8:$C$300&lt;&gt;"")*IFERROR(LEFT(株式ポートフォリオ!$E$8:$E$300,5)=TEXT(A34,"mm.dd"),0)*(株式ポートフォリオ!$M$8:$M$300&gt;0))/SUMPRODUCT((株式ポートフォリオ!$C$8:$C$300&lt;&gt;"")*IFERROR(LEFT(株式ポートフォリオ!$E$8:$E$300,5)=TEXT(A34,"mm.dd"),0))*100,0)</f>
        <v>0</v>
      </c>
      <c r="G34" s="59" cm="1">
        <f t="array" ref="G34">SUMPRODUCT((株式ポートフォリオ!$C$8:$C$300&lt;&gt;"")*IFERROR(LEFT(株式ポートフォリオ!$E$8:$E$300,5)=TEXT(A34,"mm.dd"),0)*(株式ポートフォリオ!$M$8:$M$300))</f>
        <v>0</v>
      </c>
      <c r="H34" s="47" cm="1">
        <f t="array" ref="H34">IFERROR(SUMPRODUCT((課題と反省!$C$2:$C$102&lt;&gt;"[今日の総括]")*(課題と反省!$B$2:$B$102&lt;&gt;"")*IFERROR(LEFT(課題と反省!$B$2:$B$102,5)=TEXT(A34,"mm.dd"),0)*IFERROR(課題と反省!$F$2:$F$102,0))/SUMPRODUCT((課題と反省!$C$2:$C$102&lt;&gt;"[今日の総括]")*(課題と反省!$B$2:$B$102&lt;&gt;"")*IFERROR(LEFT(課題と反省!$B$2:$B$102,5)=TEXT(A34,"mm.dd"),0)*(課題と反省!$F$2:$F$102&lt;&gt;"")),0)</f>
        <v>0</v>
      </c>
      <c r="I34" s="47">
        <f>IFERROR(COUNTIFS(課題と反省!$B$2:$B$102,TEXT(A34,"mm.dd")&amp;"*",課題と反省!$G$2:$G$102,"Y",課題と反省!$C$2:$C$102,"&lt;&gt;[今日の総括]")/COUNTIFS(課題と反省!$B$2:$B$102,TEXT(A34,"mm.dd")&amp;"*",課題と反省!$C$2:$C$102,"&lt;&gt;[今日の総括]")*100,0)</f>
        <v>15.909090909090908</v>
      </c>
      <c r="J34" s="46"/>
      <c r="K34" s="46"/>
    </row>
    <row r="35" spans="1:12" x14ac:dyDescent="0.15">
      <c r="A35" s="49">
        <f t="shared" si="5"/>
        <v>46076</v>
      </c>
      <c r="B35" s="48" t="str">
        <f t="shared" si="3"/>
        <v>月</v>
      </c>
      <c r="C35" s="48" cm="1">
        <f t="array" ref="C35">SUMPRODUCT((株式ポートフォリオ!$C$8:$C$300&lt;&gt;"")*IFERROR(VALUE(SUBSTITUTE(LEFT(株式ポートフォリオ!$E$8:$E$300,5),".",""))=VALUE(TEXT(A35,"mmdd")),0))</f>
        <v>0</v>
      </c>
      <c r="D35" s="48" cm="1">
        <f t="array" ref="D35">SUMPRODUCT((株式ポートフォリオ!$C$8:$C$300&lt;&gt;"")*IFERROR(LEFT(株式ポートフォリオ!$E$8:$E$300,5)=TEXT(A35,"mm.dd"),0)*(株式ポートフォリオ!$M$8:$M$300&gt;0))</f>
        <v>0</v>
      </c>
      <c r="E35" s="48">
        <f t="shared" si="4"/>
        <v>0</v>
      </c>
      <c r="F35" s="47" cm="1">
        <f t="array" ref="F35">IFERROR(SUMPRODUCT((株式ポートフォリオ!$C$8:$C$300&lt;&gt;"")*IFERROR(LEFT(株式ポートフォリオ!$E$8:$E$300,5)=TEXT(A35,"mm.dd"),0)*(株式ポートフォリオ!$M$8:$M$300&gt;0))/SUMPRODUCT((株式ポートフォリオ!$C$8:$C$300&lt;&gt;"")*IFERROR(LEFT(株式ポートフォリオ!$E$8:$E$300,5)=TEXT(A35,"mm.dd"),0))*100,0)</f>
        <v>0</v>
      </c>
      <c r="G35" s="59" cm="1">
        <f t="array" ref="G35">SUMPRODUCT((株式ポートフォリオ!$C$8:$C$300&lt;&gt;"")*IFERROR(LEFT(株式ポートフォリオ!$E$8:$E$300,5)=TEXT(A35,"mm.dd"),0)*(株式ポートフォリオ!$M$8:$M$300))</f>
        <v>0</v>
      </c>
      <c r="H35" s="47" cm="1">
        <f t="array" ref="H35">IFERROR(SUMPRODUCT((課題と反省!$C$2:$C$102&lt;&gt;"[今日の総括]")*(課題と反省!$B$2:$B$102&lt;&gt;"")*IFERROR(LEFT(課題と反省!$B$2:$B$102,5)=TEXT(A35,"mm.dd"),0)*IFERROR(課題と反省!$F$2:$F$102,0))/SUMPRODUCT((課題と反省!$C$2:$C$102&lt;&gt;"[今日の総括]")*(課題と反省!$B$2:$B$102&lt;&gt;"")*IFERROR(LEFT(課題と反省!$B$2:$B$102,5)=TEXT(A35,"mm.dd"),0)*(課題と反省!$F$2:$F$102&lt;&gt;"")),0)</f>
        <v>0</v>
      </c>
      <c r="I35" s="47">
        <f>IFERROR(COUNTIFS(課題と反省!$B$2:$B$102,TEXT(A35,"mm.dd")&amp;"*",課題と反省!$G$2:$G$102,"Y",課題と反省!$C$2:$C$102,"&lt;&gt;[今日の総括]")/COUNTIFS(課題と反省!$B$2:$B$102,TEXT(A35,"mm.dd")&amp;"*",課題と反省!$C$2:$C$102,"&lt;&gt;[今日の総括]")*100,0)</f>
        <v>0</v>
      </c>
      <c r="J35" s="46"/>
      <c r="K35" s="46"/>
    </row>
    <row r="36" spans="1:12" x14ac:dyDescent="0.15">
      <c r="A36" s="49">
        <f t="shared" si="5"/>
        <v>46077</v>
      </c>
      <c r="B36" s="48" t="str">
        <f t="shared" si="3"/>
        <v>火</v>
      </c>
      <c r="C36" s="48" cm="1">
        <f t="array" ref="C36">SUMPRODUCT((株式ポートフォリオ!$C$8:$C$300&lt;&gt;"")*IFERROR(VALUE(SUBSTITUTE(LEFT(株式ポートフォリオ!$E$8:$E$300,5),".",""))=VALUE(TEXT(A36,"mmdd")),0))</f>
        <v>0</v>
      </c>
      <c r="D36" s="48" cm="1">
        <f t="array" ref="D36">SUMPRODUCT((株式ポートフォリオ!$C$8:$C$300&lt;&gt;"")*IFERROR(LEFT(株式ポートフォリオ!$E$8:$E$300,5)=TEXT(A36,"mm.dd"),0)*(株式ポートフォリオ!$M$8:$M$300&gt;0))</f>
        <v>0</v>
      </c>
      <c r="E36" s="48">
        <f t="shared" si="4"/>
        <v>0</v>
      </c>
      <c r="F36" s="47" cm="1">
        <f t="array" ref="F36">IFERROR(SUMPRODUCT((株式ポートフォリオ!$C$8:$C$300&lt;&gt;"")*IFERROR(LEFT(株式ポートフォリオ!$E$8:$E$300,5)=TEXT(A36,"mm.dd"),0)*(株式ポートフォリオ!$M$8:$M$300&gt;0))/SUMPRODUCT((株式ポートフォリオ!$C$8:$C$300&lt;&gt;"")*IFERROR(LEFT(株式ポートフォリオ!$E$8:$E$300,5)=TEXT(A36,"mm.dd"),0))*100,0)</f>
        <v>0</v>
      </c>
      <c r="G36" s="59" cm="1">
        <f t="array" ref="G36">SUMPRODUCT((株式ポートフォリオ!$C$8:$C$300&lt;&gt;"")*IFERROR(LEFT(株式ポートフォリオ!$E$8:$E$300,5)=TEXT(A36,"mm.dd"),0)*(株式ポートフォリオ!$M$8:$M$300))</f>
        <v>0</v>
      </c>
      <c r="H36" s="47" cm="1">
        <f t="array" ref="H36">IFERROR(SUMPRODUCT((課題と反省!$C$2:$C$102&lt;&gt;"[今日の総括]")*(課題と反省!$B$2:$B$102&lt;&gt;"")*IFERROR(LEFT(課題と反省!$B$2:$B$102,5)=TEXT(A36,"mm.dd"),0)*IFERROR(課題と反省!$F$2:$F$102,0))/SUMPRODUCT((課題と反省!$C$2:$C$102&lt;&gt;"[今日の総括]")*(課題と反省!$B$2:$B$102&lt;&gt;"")*IFERROR(LEFT(課題と反省!$B$2:$B$102,5)=TEXT(A36,"mm.dd"),0)*(課題と反省!$F$2:$F$102&lt;&gt;"")),0)</f>
        <v>0</v>
      </c>
      <c r="I36" s="47">
        <f>IFERROR(COUNTIFS(課題と反省!$B$2:$B$102,TEXT(A36,"mm.dd")&amp;"*",課題と反省!$G$2:$G$102,"Y",課題と反省!$C$2:$C$102,"&lt;&gt;[今日の総括]")/COUNTIFS(課題と反省!$B$2:$B$102,TEXT(A36,"mm.dd")&amp;"*",課題と反省!$C$2:$C$102,"&lt;&gt;[今日の総括]")*100,0)</f>
        <v>0</v>
      </c>
      <c r="J36" s="46"/>
      <c r="K36" s="46"/>
    </row>
    <row r="37" spans="1:12" x14ac:dyDescent="0.15">
      <c r="A37" s="49">
        <f t="shared" si="5"/>
        <v>46078</v>
      </c>
      <c r="B37" s="48" t="str">
        <f t="shared" si="3"/>
        <v>水</v>
      </c>
      <c r="C37" s="48" cm="1">
        <f t="array" ref="C37">SUMPRODUCT((株式ポートフォリオ!$C$8:$C$300&lt;&gt;"")*IFERROR(VALUE(SUBSTITUTE(LEFT(株式ポートフォリオ!$E$8:$E$300,5),".",""))=VALUE(TEXT(A37,"mmdd")),0))</f>
        <v>0</v>
      </c>
      <c r="D37" s="48" cm="1">
        <f t="array" ref="D37">SUMPRODUCT((株式ポートフォリオ!$C$8:$C$300&lt;&gt;"")*IFERROR(LEFT(株式ポートフォリオ!$E$8:$E$300,5)=TEXT(A37,"mm.dd"),0)*(株式ポートフォリオ!$M$8:$M$300&gt;0))</f>
        <v>0</v>
      </c>
      <c r="E37" s="48">
        <f t="shared" si="4"/>
        <v>0</v>
      </c>
      <c r="F37" s="47" cm="1">
        <f t="array" ref="F37">IFERROR(SUMPRODUCT((株式ポートフォリオ!$C$8:$C$300&lt;&gt;"")*IFERROR(LEFT(株式ポートフォリオ!$E$8:$E$300,5)=TEXT(A37,"mm.dd"),0)*(株式ポートフォリオ!$M$8:$M$300&gt;0))/SUMPRODUCT((株式ポートフォリオ!$C$8:$C$300&lt;&gt;"")*IFERROR(LEFT(株式ポートフォリオ!$E$8:$E$300,5)=TEXT(A37,"mm.dd"),0))*100,0)</f>
        <v>0</v>
      </c>
      <c r="G37" s="59" cm="1">
        <f t="array" ref="G37">SUMPRODUCT((株式ポートフォリオ!$C$8:$C$300&lt;&gt;"")*IFERROR(LEFT(株式ポートフォリオ!$E$8:$E$300,5)=TEXT(A37,"mm.dd"),0)*(株式ポートフォリオ!$M$8:$M$300))</f>
        <v>0</v>
      </c>
      <c r="H37" s="47" cm="1">
        <f t="array" ref="H37">IFERROR(SUMPRODUCT((課題と反省!$C$2:$C$102&lt;&gt;"[今日の総括]")*(課題と反省!$B$2:$B$102&lt;&gt;"")*IFERROR(LEFT(課題と反省!$B$2:$B$102,5)=TEXT(A37,"mm.dd"),0)*IFERROR(課題と反省!$F$2:$F$102,0))/SUMPRODUCT((課題と反省!$C$2:$C$102&lt;&gt;"[今日の総括]")*(課題と反省!$B$2:$B$102&lt;&gt;"")*IFERROR(LEFT(課題と反省!$B$2:$B$102,5)=TEXT(A37,"mm.dd"),0)*(課題と反省!$F$2:$F$102&lt;&gt;"")),0)</f>
        <v>0</v>
      </c>
      <c r="I37" s="47">
        <f>IFERROR(COUNTIFS(課題と反省!$B$2:$B$102,TEXT(A37,"mm.dd")&amp;"*",課題と反省!$G$2:$G$102,"Y",課題と反省!$C$2:$C$102,"&lt;&gt;[今日の総括]")/COUNTIFS(課題と反省!$B$2:$B$102,TEXT(A37,"mm.dd")&amp;"*",課題と反省!$C$2:$C$102,"&lt;&gt;[今日の総括]")*100,0)</f>
        <v>0</v>
      </c>
      <c r="J37" s="46"/>
      <c r="K37" s="46"/>
    </row>
    <row r="38" spans="1:12" x14ac:dyDescent="0.15">
      <c r="A38" s="49">
        <f t="shared" si="5"/>
        <v>46079</v>
      </c>
      <c r="B38" s="48" t="str">
        <f t="shared" si="3"/>
        <v>木</v>
      </c>
      <c r="C38" s="48" cm="1">
        <f t="array" ref="C38">SUMPRODUCT((株式ポートフォリオ!$C$8:$C$300&lt;&gt;"")*IFERROR(VALUE(SUBSTITUTE(LEFT(株式ポートフォリオ!$E$8:$E$300,5),".",""))=VALUE(TEXT(A38,"mmdd")),0))</f>
        <v>0</v>
      </c>
      <c r="D38" s="48" cm="1">
        <f t="array" ref="D38">SUMPRODUCT((株式ポートフォリオ!$C$8:$C$300&lt;&gt;"")*IFERROR(LEFT(株式ポートフォリオ!$E$8:$E$300,5)=TEXT(A38,"mm.dd"),0)*(株式ポートフォリオ!$M$8:$M$300&gt;0))</f>
        <v>0</v>
      </c>
      <c r="E38" s="48">
        <f t="shared" si="4"/>
        <v>0</v>
      </c>
      <c r="F38" s="47" cm="1">
        <f t="array" ref="F38">IFERROR(SUMPRODUCT((株式ポートフォリオ!$C$8:$C$300&lt;&gt;"")*IFERROR(LEFT(株式ポートフォリオ!$E$8:$E$300,5)=TEXT(A38,"mm.dd"),0)*(株式ポートフォリオ!$M$8:$M$300&gt;0))/SUMPRODUCT((株式ポートフォリオ!$C$8:$C$300&lt;&gt;"")*IFERROR(LEFT(株式ポートフォリオ!$E$8:$E$300,5)=TEXT(A38,"mm.dd"),0))*100,0)</f>
        <v>0</v>
      </c>
      <c r="G38" s="59" cm="1">
        <f t="array" ref="G38">SUMPRODUCT((株式ポートフォリオ!$C$8:$C$300&lt;&gt;"")*IFERROR(LEFT(株式ポートフォリオ!$E$8:$E$300,5)=TEXT(A38,"mm.dd"),0)*(株式ポートフォリオ!$M$8:$M$300))</f>
        <v>0</v>
      </c>
      <c r="H38" s="47" cm="1">
        <f t="array" ref="H38">IFERROR(SUMPRODUCT((課題と反省!$C$2:$C$102&lt;&gt;"[今日の総括]")*(課題と反省!$B$2:$B$102&lt;&gt;"")*IFERROR(LEFT(課題と反省!$B$2:$B$102,5)=TEXT(A38,"mm.dd"),0)*IFERROR(課題と反省!$F$2:$F$102,0))/SUMPRODUCT((課題と反省!$C$2:$C$102&lt;&gt;"[今日の総括]")*(課題と反省!$B$2:$B$102&lt;&gt;"")*IFERROR(LEFT(課題と反省!$B$2:$B$102,5)=TEXT(A38,"mm.dd"),0)*(課題と反省!$F$2:$F$102&lt;&gt;"")),0)</f>
        <v>0</v>
      </c>
      <c r="I38" s="47">
        <f>IFERROR(COUNTIFS(課題と反省!$B$2:$B$102,TEXT(A38,"mm.dd")&amp;"*",課題と反省!$G$2:$G$102,"Y",課題と反省!$C$2:$C$102,"&lt;&gt;[今日の総括]")/COUNTIFS(課題と反省!$B$2:$B$102,TEXT(A38,"mm.dd")&amp;"*",課題と反省!$C$2:$C$102,"&lt;&gt;[今日の総括]")*100,0)</f>
        <v>0</v>
      </c>
      <c r="J38" s="46"/>
      <c r="K38" s="46"/>
    </row>
    <row r="39" spans="1:12" x14ac:dyDescent="0.15">
      <c r="A39" s="49">
        <f t="shared" si="5"/>
        <v>46080</v>
      </c>
      <c r="B39" s="48" t="str">
        <f t="shared" si="3"/>
        <v>金</v>
      </c>
      <c r="C39" s="48" cm="1">
        <f t="array" ref="C39">SUMPRODUCT((株式ポートフォリオ!$C$8:$C$300&lt;&gt;"")*IFERROR(VALUE(SUBSTITUTE(LEFT(株式ポートフォリオ!$E$8:$E$300,5),".",""))=VALUE(TEXT(A39,"mmdd")),0))</f>
        <v>0</v>
      </c>
      <c r="D39" s="48" cm="1">
        <f t="array" ref="D39">SUMPRODUCT((株式ポートフォリオ!$C$8:$C$300&lt;&gt;"")*IFERROR(LEFT(株式ポートフォリオ!$E$8:$E$300,5)=TEXT(A39,"mm.dd"),0)*(株式ポートフォリオ!$M$8:$M$300&gt;0))</f>
        <v>0</v>
      </c>
      <c r="E39" s="48">
        <f t="shared" si="4"/>
        <v>0</v>
      </c>
      <c r="F39" s="47" cm="1">
        <f t="array" ref="F39">IFERROR(SUMPRODUCT((株式ポートフォリオ!$C$8:$C$300&lt;&gt;"")*IFERROR(LEFT(株式ポートフォリオ!$E$8:$E$300,5)=TEXT(A39,"mm.dd"),0)*(株式ポートフォリオ!$M$8:$M$300&gt;0))/SUMPRODUCT((株式ポートフォリオ!$C$8:$C$300&lt;&gt;"")*IFERROR(LEFT(株式ポートフォリオ!$E$8:$E$300,5)=TEXT(A39,"mm.dd"),0))*100,0)</f>
        <v>0</v>
      </c>
      <c r="G39" s="59" cm="1">
        <f t="array" ref="G39">SUMPRODUCT((株式ポートフォリオ!$C$8:$C$300&lt;&gt;"")*IFERROR(LEFT(株式ポートフォリオ!$E$8:$E$300,5)=TEXT(A39,"mm.dd"),0)*(株式ポートフォリオ!$M$8:$M$300))</f>
        <v>0</v>
      </c>
      <c r="H39" s="47" cm="1">
        <f t="array" ref="H39">IFERROR(SUMPRODUCT((課題と反省!$C$2:$C$102&lt;&gt;"[今日の総括]")*(課題と反省!$B$2:$B$102&lt;&gt;"")*IFERROR(LEFT(課題と反省!$B$2:$B$102,5)=TEXT(A39,"mm.dd"),0)*IFERROR(課題と反省!$F$2:$F$102,0))/SUMPRODUCT((課題と反省!$C$2:$C$102&lt;&gt;"[今日の総括]")*(課題と反省!$B$2:$B$102&lt;&gt;"")*IFERROR(LEFT(課題と反省!$B$2:$B$102,5)=TEXT(A39,"mm.dd"),0)*(課題と反省!$F$2:$F$102&lt;&gt;"")),0)</f>
        <v>0</v>
      </c>
      <c r="I39" s="47">
        <f>IFERROR(COUNTIFS(課題と反省!$B$2:$B$102,TEXT(A39,"mm.dd")&amp;"*",課題と反省!$G$2:$G$102,"Y",課題と反省!$C$2:$C$102,"&lt;&gt;[今日の総括]")/COUNTIFS(課題と反省!$B$2:$B$102,TEXT(A39,"mm.dd")&amp;"*",課題と反省!$C$2:$C$102,"&lt;&gt;[今日の総括]")*100,0)</f>
        <v>0</v>
      </c>
      <c r="J39" s="46"/>
      <c r="K39" s="46"/>
    </row>
    <row r="40" spans="1:12" x14ac:dyDescent="0.15">
      <c r="B40" s="102"/>
      <c r="C40" s="102"/>
      <c r="D40" s="102"/>
      <c r="E40" s="102"/>
      <c r="F40" s="102"/>
      <c r="G40" s="102"/>
      <c r="H40" s="102"/>
      <c r="I40" s="102"/>
      <c r="J40" s="102"/>
      <c r="K40" s="102"/>
      <c r="L40" s="102"/>
    </row>
    <row r="43" spans="1:12" ht="16.5" x14ac:dyDescent="0.4">
      <c r="A43" s="45" t="s">
        <v>1169</v>
      </c>
    </row>
    <row r="44" spans="1:12" ht="15" x14ac:dyDescent="0.15">
      <c r="A44" s="44" t="s">
        <v>1127</v>
      </c>
      <c r="B44" s="101"/>
      <c r="C44" s="102"/>
      <c r="D44" s="102"/>
      <c r="E44" s="102"/>
      <c r="F44" s="102"/>
      <c r="G44" s="102"/>
      <c r="H44" s="102"/>
      <c r="I44" s="102"/>
      <c r="J44" s="102"/>
      <c r="K44" s="102"/>
      <c r="L44" s="102"/>
    </row>
    <row r="45" spans="1:12" x14ac:dyDescent="0.15">
      <c r="B45" s="102"/>
      <c r="C45" s="102"/>
      <c r="D45" s="102"/>
      <c r="E45" s="102"/>
      <c r="F45" s="102"/>
      <c r="G45" s="102"/>
      <c r="H45" s="102"/>
      <c r="I45" s="102"/>
      <c r="J45" s="102"/>
      <c r="K45" s="102"/>
      <c r="L45" s="102"/>
    </row>
    <row r="46" spans="1:12" ht="15" x14ac:dyDescent="0.15">
      <c r="A46" s="44" t="s">
        <v>1126</v>
      </c>
      <c r="B46" s="101" t="s">
        <v>1174</v>
      </c>
      <c r="C46" s="102"/>
      <c r="D46" s="102"/>
      <c r="E46" s="102"/>
      <c r="F46" s="102"/>
      <c r="G46" s="102"/>
      <c r="H46" s="102"/>
      <c r="I46" s="102"/>
      <c r="J46" s="102"/>
      <c r="K46" s="102"/>
      <c r="L46" s="102"/>
    </row>
    <row r="47" spans="1:12" x14ac:dyDescent="0.15">
      <c r="B47" s="102"/>
      <c r="C47" s="102"/>
      <c r="D47" s="102"/>
      <c r="E47" s="102"/>
      <c r="F47" s="102"/>
      <c r="G47" s="102"/>
      <c r="H47" s="102"/>
      <c r="I47" s="102"/>
      <c r="J47" s="102"/>
      <c r="K47" s="102"/>
      <c r="L47" s="102"/>
    </row>
    <row r="48" spans="1:12" ht="15" x14ac:dyDescent="0.15">
      <c r="A48" s="44" t="s">
        <v>1125</v>
      </c>
      <c r="B48" s="101" t="s">
        <v>1175</v>
      </c>
      <c r="C48" s="102"/>
      <c r="D48" s="102"/>
      <c r="E48" s="102"/>
      <c r="F48" s="102"/>
      <c r="G48" s="102"/>
      <c r="H48" s="102"/>
      <c r="I48" s="102"/>
      <c r="J48" s="102"/>
      <c r="K48" s="102"/>
      <c r="L48" s="102"/>
    </row>
    <row r="49" spans="1:12" x14ac:dyDescent="0.15">
      <c r="B49" s="102"/>
      <c r="C49" s="102"/>
      <c r="D49" s="102"/>
      <c r="E49" s="102"/>
      <c r="F49" s="102"/>
      <c r="G49" s="102"/>
      <c r="H49" s="102"/>
      <c r="I49" s="102"/>
      <c r="J49" s="102"/>
      <c r="K49" s="102"/>
      <c r="L49" s="102"/>
    </row>
    <row r="50" spans="1:12" ht="15" x14ac:dyDescent="0.15">
      <c r="A50" s="44" t="s">
        <v>1124</v>
      </c>
      <c r="B50" s="101" t="s">
        <v>1176</v>
      </c>
      <c r="C50" s="102"/>
      <c r="D50" s="102"/>
      <c r="E50" s="102"/>
      <c r="F50" s="102"/>
      <c r="G50" s="102"/>
      <c r="H50" s="102"/>
      <c r="I50" s="102"/>
      <c r="J50" s="102"/>
      <c r="K50" s="102"/>
      <c r="L50" s="102"/>
    </row>
    <row r="51" spans="1:12" x14ac:dyDescent="0.15">
      <c r="B51" s="102"/>
      <c r="C51" s="102"/>
      <c r="D51" s="102"/>
      <c r="E51" s="102"/>
      <c r="F51" s="102"/>
      <c r="G51" s="102"/>
      <c r="H51" s="102"/>
      <c r="I51" s="102"/>
      <c r="J51" s="102"/>
      <c r="K51" s="102"/>
      <c r="L51" s="102"/>
    </row>
    <row r="55" spans="1:12" ht="16.5" x14ac:dyDescent="0.4">
      <c r="A55" s="45" t="s">
        <v>1130</v>
      </c>
    </row>
    <row r="56" spans="1:12" ht="15" x14ac:dyDescent="0.15">
      <c r="A56" s="44" t="s">
        <v>1127</v>
      </c>
      <c r="B56" s="101" t="s">
        <v>1249</v>
      </c>
      <c r="C56" s="102"/>
      <c r="D56" s="102"/>
      <c r="E56" s="102"/>
      <c r="F56" s="102"/>
      <c r="G56" s="102"/>
      <c r="H56" s="102"/>
      <c r="I56" s="102"/>
      <c r="J56" s="102"/>
      <c r="K56" s="102"/>
      <c r="L56" s="102"/>
    </row>
    <row r="57" spans="1:12" x14ac:dyDescent="0.15">
      <c r="B57" s="102"/>
      <c r="C57" s="102"/>
      <c r="D57" s="102"/>
      <c r="E57" s="102"/>
      <c r="F57" s="102"/>
      <c r="G57" s="102"/>
      <c r="H57" s="102"/>
      <c r="I57" s="102"/>
      <c r="J57" s="102"/>
      <c r="K57" s="102"/>
      <c r="L57" s="102"/>
    </row>
    <row r="58" spans="1:12" ht="15" x14ac:dyDescent="0.15">
      <c r="A58" s="44" t="s">
        <v>1126</v>
      </c>
      <c r="B58" s="101" t="s">
        <v>1250</v>
      </c>
      <c r="C58" s="102"/>
      <c r="D58" s="102"/>
      <c r="E58" s="102"/>
      <c r="F58" s="102"/>
      <c r="G58" s="102"/>
      <c r="H58" s="102"/>
      <c r="I58" s="102"/>
      <c r="J58" s="102"/>
      <c r="K58" s="102"/>
      <c r="L58" s="102"/>
    </row>
    <row r="59" spans="1:12" x14ac:dyDescent="0.15">
      <c r="B59" s="102"/>
      <c r="C59" s="102"/>
      <c r="D59" s="102"/>
      <c r="E59" s="102"/>
      <c r="F59" s="102"/>
      <c r="G59" s="102"/>
      <c r="H59" s="102"/>
      <c r="I59" s="102"/>
      <c r="J59" s="102"/>
      <c r="K59" s="102"/>
      <c r="L59" s="102"/>
    </row>
    <row r="60" spans="1:12" ht="15" x14ac:dyDescent="0.15">
      <c r="A60" s="44" t="s">
        <v>1125</v>
      </c>
      <c r="B60" s="101" t="s">
        <v>1251</v>
      </c>
      <c r="C60" s="102"/>
      <c r="D60" s="102"/>
      <c r="E60" s="102"/>
      <c r="F60" s="102"/>
      <c r="G60" s="102"/>
      <c r="H60" s="102"/>
      <c r="I60" s="102"/>
      <c r="J60" s="102"/>
      <c r="K60" s="102"/>
      <c r="L60" s="102"/>
    </row>
    <row r="61" spans="1:12" x14ac:dyDescent="0.15">
      <c r="B61" s="102"/>
      <c r="C61" s="102"/>
      <c r="D61" s="102"/>
      <c r="E61" s="102"/>
      <c r="F61" s="102"/>
      <c r="G61" s="102"/>
      <c r="H61" s="102"/>
      <c r="I61" s="102"/>
      <c r="J61" s="102"/>
      <c r="K61" s="102"/>
      <c r="L61" s="102"/>
    </row>
    <row r="62" spans="1:12" ht="15" x14ac:dyDescent="0.15">
      <c r="A62" s="44" t="s">
        <v>1124</v>
      </c>
      <c r="B62" s="101" t="s">
        <v>1252</v>
      </c>
      <c r="C62" s="102"/>
      <c r="D62" s="102"/>
      <c r="E62" s="102"/>
      <c r="F62" s="102"/>
      <c r="G62" s="102"/>
      <c r="H62" s="102"/>
      <c r="I62" s="102"/>
      <c r="J62" s="102"/>
      <c r="K62" s="102"/>
      <c r="L62" s="102"/>
    </row>
    <row r="63" spans="1:12" x14ac:dyDescent="0.15">
      <c r="B63" s="102"/>
      <c r="C63" s="102"/>
      <c r="D63" s="102"/>
      <c r="E63" s="102"/>
      <c r="F63" s="102"/>
      <c r="G63" s="102"/>
      <c r="H63" s="102"/>
      <c r="I63" s="102"/>
      <c r="J63" s="102"/>
      <c r="K63" s="102"/>
      <c r="L63" s="102"/>
    </row>
    <row r="67" spans="1:12" ht="16.5" x14ac:dyDescent="0.4">
      <c r="A67" s="45" t="s">
        <v>1129</v>
      </c>
    </row>
    <row r="68" spans="1:12" ht="15" x14ac:dyDescent="0.15">
      <c r="A68" s="44" t="s">
        <v>1127</v>
      </c>
      <c r="B68" s="101"/>
      <c r="C68" s="102"/>
      <c r="D68" s="102"/>
      <c r="E68" s="102"/>
      <c r="F68" s="102"/>
      <c r="G68" s="102"/>
      <c r="H68" s="102"/>
      <c r="I68" s="102"/>
      <c r="J68" s="102"/>
      <c r="K68" s="102"/>
      <c r="L68" s="102"/>
    </row>
    <row r="69" spans="1:12" x14ac:dyDescent="0.15">
      <c r="B69" s="102"/>
      <c r="C69" s="102"/>
      <c r="D69" s="102"/>
      <c r="E69" s="102"/>
      <c r="F69" s="102"/>
      <c r="G69" s="102"/>
      <c r="H69" s="102"/>
      <c r="I69" s="102"/>
      <c r="J69" s="102"/>
      <c r="K69" s="102"/>
      <c r="L69" s="102"/>
    </row>
    <row r="70" spans="1:12" ht="15" x14ac:dyDescent="0.15">
      <c r="A70" s="44" t="s">
        <v>1126</v>
      </c>
      <c r="B70" s="101"/>
      <c r="C70" s="102"/>
      <c r="D70" s="102"/>
      <c r="E70" s="102"/>
      <c r="F70" s="102"/>
      <c r="G70" s="102"/>
      <c r="H70" s="102"/>
      <c r="I70" s="102"/>
      <c r="J70" s="102"/>
      <c r="K70" s="102"/>
      <c r="L70" s="102"/>
    </row>
    <row r="71" spans="1:12" x14ac:dyDescent="0.15">
      <c r="B71" s="102"/>
      <c r="C71" s="102"/>
      <c r="D71" s="102"/>
      <c r="E71" s="102"/>
      <c r="F71" s="102"/>
      <c r="G71" s="102"/>
      <c r="H71" s="102"/>
      <c r="I71" s="102"/>
      <c r="J71" s="102"/>
      <c r="K71" s="102"/>
      <c r="L71" s="102"/>
    </row>
    <row r="72" spans="1:12" ht="15" x14ac:dyDescent="0.15">
      <c r="A72" s="44" t="s">
        <v>1125</v>
      </c>
      <c r="B72" s="101"/>
      <c r="C72" s="102"/>
      <c r="D72" s="102"/>
      <c r="E72" s="102"/>
      <c r="F72" s="102"/>
      <c r="G72" s="102"/>
      <c r="H72" s="102"/>
      <c r="I72" s="102"/>
      <c r="J72" s="102"/>
      <c r="K72" s="102"/>
      <c r="L72" s="102"/>
    </row>
    <row r="73" spans="1:12" x14ac:dyDescent="0.15">
      <c r="B73" s="102"/>
      <c r="C73" s="102"/>
      <c r="D73" s="102"/>
      <c r="E73" s="102"/>
      <c r="F73" s="102"/>
      <c r="G73" s="102"/>
      <c r="H73" s="102"/>
      <c r="I73" s="102"/>
      <c r="J73" s="102"/>
      <c r="K73" s="102"/>
      <c r="L73" s="102"/>
    </row>
    <row r="74" spans="1:12" ht="15" x14ac:dyDescent="0.15">
      <c r="A74" s="44" t="s">
        <v>1124</v>
      </c>
      <c r="B74" s="101"/>
      <c r="C74" s="102"/>
      <c r="D74" s="102"/>
      <c r="E74" s="102"/>
      <c r="F74" s="102"/>
      <c r="G74" s="102"/>
      <c r="H74" s="102"/>
      <c r="I74" s="102"/>
      <c r="J74" s="102"/>
      <c r="K74" s="102"/>
      <c r="L74" s="102"/>
    </row>
    <row r="75" spans="1:12" x14ac:dyDescent="0.15">
      <c r="B75" s="102"/>
      <c r="C75" s="102"/>
      <c r="D75" s="102"/>
      <c r="E75" s="102"/>
      <c r="F75" s="102"/>
      <c r="G75" s="102"/>
      <c r="H75" s="102"/>
      <c r="I75" s="102"/>
      <c r="J75" s="102"/>
      <c r="K75" s="102"/>
      <c r="L75" s="102"/>
    </row>
    <row r="79" spans="1:12" ht="16.5" x14ac:dyDescent="0.4">
      <c r="A79" s="45" t="s">
        <v>1128</v>
      </c>
    </row>
    <row r="80" spans="1:12" ht="15" x14ac:dyDescent="0.15">
      <c r="A80" s="44" t="s">
        <v>1127</v>
      </c>
      <c r="B80" s="101"/>
      <c r="C80" s="102"/>
      <c r="D80" s="102"/>
      <c r="E80" s="102"/>
      <c r="F80" s="102"/>
      <c r="G80" s="102"/>
      <c r="H80" s="102"/>
      <c r="I80" s="102"/>
      <c r="J80" s="102"/>
      <c r="K80" s="102"/>
      <c r="L80" s="102"/>
    </row>
    <row r="81" spans="1:12" x14ac:dyDescent="0.15">
      <c r="B81" s="102"/>
      <c r="C81" s="102"/>
      <c r="D81" s="102"/>
      <c r="E81" s="102"/>
      <c r="F81" s="102"/>
      <c r="G81" s="102"/>
      <c r="H81" s="102"/>
      <c r="I81" s="102"/>
      <c r="J81" s="102"/>
      <c r="K81" s="102"/>
      <c r="L81" s="102"/>
    </row>
    <row r="82" spans="1:12" ht="15" x14ac:dyDescent="0.15">
      <c r="A82" s="44" t="s">
        <v>1126</v>
      </c>
      <c r="B82" s="101"/>
      <c r="C82" s="102"/>
      <c r="D82" s="102"/>
      <c r="E82" s="102"/>
      <c r="F82" s="102"/>
      <c r="G82" s="102"/>
      <c r="H82" s="102"/>
      <c r="I82" s="102"/>
      <c r="J82" s="102"/>
      <c r="K82" s="102"/>
      <c r="L82" s="102"/>
    </row>
    <row r="83" spans="1:12" x14ac:dyDescent="0.15">
      <c r="B83" s="102"/>
      <c r="C83" s="102"/>
      <c r="D83" s="102"/>
      <c r="E83" s="102"/>
      <c r="F83" s="102"/>
      <c r="G83" s="102"/>
      <c r="H83" s="102"/>
      <c r="I83" s="102"/>
      <c r="J83" s="102"/>
      <c r="K83" s="102"/>
      <c r="L83" s="102"/>
    </row>
    <row r="84" spans="1:12" ht="15" x14ac:dyDescent="0.15">
      <c r="A84" s="44" t="s">
        <v>1125</v>
      </c>
      <c r="B84" s="101"/>
      <c r="C84" s="102"/>
      <c r="D84" s="102"/>
      <c r="E84" s="102"/>
      <c r="F84" s="102"/>
      <c r="G84" s="102"/>
      <c r="H84" s="102"/>
      <c r="I84" s="102"/>
      <c r="J84" s="102"/>
      <c r="K84" s="102"/>
      <c r="L84" s="102"/>
    </row>
    <row r="85" spans="1:12" x14ac:dyDescent="0.15">
      <c r="B85" s="102"/>
      <c r="C85" s="102"/>
      <c r="D85" s="102"/>
      <c r="E85" s="102"/>
      <c r="F85" s="102"/>
      <c r="G85" s="102"/>
      <c r="H85" s="102"/>
      <c r="I85" s="102"/>
      <c r="J85" s="102"/>
      <c r="K85" s="102"/>
      <c r="L85" s="102"/>
    </row>
    <row r="86" spans="1:12" ht="15" x14ac:dyDescent="0.15">
      <c r="A86" s="44" t="s">
        <v>1124</v>
      </c>
      <c r="B86" s="101"/>
      <c r="C86" s="102"/>
      <c r="D86" s="102"/>
      <c r="E86" s="102"/>
      <c r="F86" s="102"/>
      <c r="G86" s="102"/>
      <c r="H86" s="102"/>
      <c r="I86" s="102"/>
      <c r="J86" s="102"/>
      <c r="K86" s="102"/>
      <c r="L86" s="102"/>
    </row>
    <row r="87" spans="1:12" x14ac:dyDescent="0.15">
      <c r="B87" s="103"/>
      <c r="C87" s="102"/>
      <c r="D87" s="102"/>
      <c r="E87" s="102"/>
      <c r="F87" s="102"/>
      <c r="G87" s="102"/>
      <c r="H87" s="102"/>
      <c r="I87" s="102"/>
      <c r="J87" s="102"/>
      <c r="K87" s="102"/>
      <c r="L87" s="102"/>
    </row>
    <row r="88" spans="1:12" x14ac:dyDescent="0.15">
      <c r="B88" s="102"/>
      <c r="C88" s="102"/>
      <c r="D88" s="102"/>
      <c r="E88" s="102"/>
      <c r="F88" s="102"/>
      <c r="G88" s="102"/>
      <c r="H88" s="102"/>
      <c r="I88" s="102"/>
      <c r="J88" s="102"/>
      <c r="K88" s="102"/>
      <c r="L88" s="102"/>
    </row>
    <row r="90" spans="1:12" ht="16.5" x14ac:dyDescent="0.4">
      <c r="A90" s="45" t="s">
        <v>1168</v>
      </c>
    </row>
    <row r="91" spans="1:12" ht="15" x14ac:dyDescent="0.15">
      <c r="A91" s="44" t="s">
        <v>1127</v>
      </c>
      <c r="B91" s="101"/>
      <c r="C91" s="102"/>
      <c r="D91" s="102"/>
      <c r="E91" s="102"/>
      <c r="F91" s="102"/>
      <c r="G91" s="102"/>
      <c r="H91" s="102"/>
      <c r="I91" s="102"/>
      <c r="J91" s="102"/>
      <c r="K91" s="102"/>
      <c r="L91" s="102"/>
    </row>
    <row r="92" spans="1:12" x14ac:dyDescent="0.15">
      <c r="B92" s="102"/>
      <c r="C92" s="102"/>
      <c r="D92" s="102"/>
      <c r="E92" s="102"/>
      <c r="F92" s="102"/>
      <c r="G92" s="102"/>
      <c r="H92" s="102"/>
      <c r="I92" s="102"/>
      <c r="J92" s="102"/>
      <c r="K92" s="102"/>
      <c r="L92" s="102"/>
    </row>
    <row r="93" spans="1:12" ht="15" x14ac:dyDescent="0.15">
      <c r="A93" s="44" t="s">
        <v>1126</v>
      </c>
      <c r="B93" s="101"/>
      <c r="C93" s="102"/>
      <c r="D93" s="102"/>
      <c r="E93" s="102"/>
      <c r="F93" s="102"/>
      <c r="G93" s="102"/>
      <c r="H93" s="102"/>
      <c r="I93" s="102"/>
      <c r="J93" s="102"/>
      <c r="K93" s="102"/>
      <c r="L93" s="102"/>
    </row>
    <row r="94" spans="1:12" x14ac:dyDescent="0.15">
      <c r="B94" s="102"/>
      <c r="C94" s="102"/>
      <c r="D94" s="102"/>
      <c r="E94" s="102"/>
      <c r="F94" s="102"/>
      <c r="G94" s="102"/>
      <c r="H94" s="102"/>
      <c r="I94" s="102"/>
      <c r="J94" s="102"/>
      <c r="K94" s="102"/>
      <c r="L94" s="102"/>
    </row>
    <row r="95" spans="1:12" ht="15" x14ac:dyDescent="0.15">
      <c r="A95" s="44" t="s">
        <v>1125</v>
      </c>
      <c r="B95" s="101"/>
      <c r="C95" s="102"/>
      <c r="D95" s="102"/>
      <c r="E95" s="102"/>
      <c r="F95" s="102"/>
      <c r="G95" s="102"/>
      <c r="H95" s="102"/>
      <c r="I95" s="102"/>
      <c r="J95" s="102"/>
      <c r="K95" s="102"/>
      <c r="L95" s="102"/>
    </row>
    <row r="96" spans="1:12" x14ac:dyDescent="0.15">
      <c r="B96" s="102"/>
      <c r="C96" s="102"/>
      <c r="D96" s="102"/>
      <c r="E96" s="102"/>
      <c r="F96" s="102"/>
      <c r="G96" s="102"/>
      <c r="H96" s="102"/>
      <c r="I96" s="102"/>
      <c r="J96" s="102"/>
      <c r="K96" s="102"/>
      <c r="L96" s="102"/>
    </row>
    <row r="97" spans="1:12" ht="15" x14ac:dyDescent="0.15">
      <c r="A97" s="44" t="s">
        <v>1124</v>
      </c>
      <c r="B97" s="101"/>
      <c r="C97" s="102"/>
      <c r="D97" s="102"/>
      <c r="E97" s="102"/>
      <c r="F97" s="102"/>
      <c r="G97" s="102"/>
      <c r="H97" s="102"/>
      <c r="I97" s="102"/>
      <c r="J97" s="102"/>
      <c r="K97" s="102"/>
      <c r="L97" s="102"/>
    </row>
    <row r="98" spans="1:12" x14ac:dyDescent="0.15">
      <c r="B98" s="102"/>
      <c r="C98" s="102"/>
      <c r="D98" s="102"/>
      <c r="E98" s="102"/>
      <c r="F98" s="102"/>
      <c r="G98" s="102"/>
      <c r="H98" s="102"/>
      <c r="I98" s="102"/>
      <c r="J98" s="102"/>
      <c r="K98" s="102"/>
      <c r="L98" s="102"/>
    </row>
  </sheetData>
  <mergeCells count="23">
    <mergeCell ref="B70:L71"/>
    <mergeCell ref="A4:L4"/>
    <mergeCell ref="A12:K12"/>
    <mergeCell ref="B40:L40"/>
    <mergeCell ref="B46:L47"/>
    <mergeCell ref="B48:L49"/>
    <mergeCell ref="B50:L51"/>
    <mergeCell ref="B44:L45"/>
    <mergeCell ref="B56:L57"/>
    <mergeCell ref="B58:L59"/>
    <mergeCell ref="B60:L61"/>
    <mergeCell ref="B62:L63"/>
    <mergeCell ref="B68:L69"/>
    <mergeCell ref="B91:L92"/>
    <mergeCell ref="B93:L94"/>
    <mergeCell ref="B95:L96"/>
    <mergeCell ref="B97:L98"/>
    <mergeCell ref="B72:L73"/>
    <mergeCell ref="B74:L75"/>
    <mergeCell ref="B80:L81"/>
    <mergeCell ref="B82:L83"/>
    <mergeCell ref="B84:L85"/>
    <mergeCell ref="B86:L88"/>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株式ポートフォリオ</vt:lpstr>
      <vt:lpstr>課題と反省</vt:lpstr>
      <vt:lpstr>週次・月次レポート</vt:lpstr>
      <vt:lpstr>株式ポートフォリオ!Print_Titles</vt:lpstr>
    </vt:vector>
  </TitlesOfParts>
  <Manager/>
  <Company>Microsoft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Megumi</dc:creator>
  <cp:keywords/>
  <dc:description/>
  <cp:lastModifiedBy>潤 尾崎</cp:lastModifiedBy>
  <cp:revision>1</cp:revision>
  <dcterms:created xsi:type="dcterms:W3CDTF">2002-11-14T21:39:52Z</dcterms:created>
  <dcterms:modified xsi:type="dcterms:W3CDTF">2026-02-19T07:13:01Z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lications">
    <vt:lpwstr/>
  </property>
  <property fmtid="{D5CDD505-2E9C-101B-9397-08002B2CF9AE}" pid="3" name="CampaignTags">
    <vt:lpwstr/>
  </property>
  <property fmtid="{D5CDD505-2E9C-101B-9397-08002B2CF9AE}" pid="4" name="CategoryTags">
    <vt:lpwstr/>
  </property>
  <property fmtid="{D5CDD505-2E9C-101B-9397-08002B2CF9AE}" pid="5" name="ContentTypeId">
    <vt:lpwstr>0x010100F6E1CA76AAD4564AAF106FC3CFA868360400186944AA932D8046A3B88E9B37BEBDF5</vt:lpwstr>
  </property>
  <property fmtid="{D5CDD505-2E9C-101B-9397-08002B2CF9AE}" pid="6" name="FeatureTags">
    <vt:lpwstr/>
  </property>
  <property fmtid="{D5CDD505-2E9C-101B-9397-08002B2CF9AE}" pid="7" name="HiddenCategoryTags">
    <vt:lpwstr/>
  </property>
  <property fmtid="{D5CDD505-2E9C-101B-9397-08002B2CF9AE}" pid="8" name="ImageGenStatus">
    <vt:i4>0</vt:i4>
  </property>
  <property fmtid="{D5CDD505-2E9C-101B-9397-08002B2CF9AE}" pid="9" name="InternalTags">
    <vt:lpwstr/>
  </property>
  <property fmtid="{D5CDD505-2E9C-101B-9397-08002B2CF9AE}" pid="10" name="LocalizationTags">
    <vt:lpwstr/>
  </property>
  <property fmtid="{D5CDD505-2E9C-101B-9397-08002B2CF9AE}" pid="11" name="Order">
    <vt:r8>14052300</vt:r8>
  </property>
  <property fmtid="{D5CDD505-2E9C-101B-9397-08002B2CF9AE}" pid="12" name="ScenarioTags">
    <vt:lpwstr/>
  </property>
  <property fmtid="{D5CDD505-2E9C-101B-9397-08002B2CF9AE}" pid="13" name="_TemplateID">
    <vt:lpwstr>TC010233521041</vt:lpwstr>
  </property>
</Properties>
</file>